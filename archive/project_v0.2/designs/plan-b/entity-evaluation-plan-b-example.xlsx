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5c131101dc4b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structions" sheetId="1" r:id="Ra3e9aee264a44a3e"/>
    <x:sheet xmlns:r="http://schemas.openxmlformats.org/officeDocument/2006/relationships" name="01_Raw_client_output" sheetId="2" r:id="Rac080c092f584aab"/>
    <x:sheet xmlns:r="http://schemas.openxmlformats.org/officeDocument/2006/relationships" name="02_Note_inventory" sheetId="3" r:id="R48b0b0ba12aa4409"/>
    <x:sheet xmlns:r="http://schemas.openxmlformats.org/officeDocument/2006/relationships" name="03_Assisted_entity_review" sheetId="4" r:id="R40839669ed894eac"/>
    <x:sheet xmlns:r="http://schemas.openxmlformats.org/officeDocument/2006/relationships" name="04_Entity_field_review" sheetId="5" r:id="R35a730ff3bd84725"/>
    <x:sheet xmlns:r="http://schemas.openxmlformats.org/officeDocument/2006/relationships" name="05_Category_review" sheetId="6" r:id="R8b76960c78ae4daa"/>
    <x:sheet xmlns:r="http://schemas.openxmlformats.org/officeDocument/2006/relationships" name="06_Coreference_links" sheetId="7" r:id="Ra5652a8a42a148a3"/>
    <x:sheet xmlns:r="http://schemas.openxmlformats.org/officeDocument/2006/relationships" name="07_Blind_gold_mentions" sheetId="8" r:id="R8753bf6ea5874cfe"/>
    <x:sheet xmlns:r="http://schemas.openxmlformats.org/officeDocument/2006/relationships" name="08_Blind_gold_entity_fields" sheetId="9" r:id="R545de73a732a487f"/>
    <x:sheet xmlns:r="http://schemas.openxmlformats.org/officeDocument/2006/relationships" name="09_Phase1_pair_review" sheetId="10" r:id="R4f5ed89bae084a56"/>
    <x:sheet xmlns:r="http://schemas.openxmlformats.org/officeDocument/2006/relationships" name="10_Phase1_summary" sheetId="11" r:id="R39b847bd8e844be2"/>
    <x:sheet xmlns:r="http://schemas.openxmlformats.org/officeDocument/2006/relationships" name="11_Phase2_candidate_input" sheetId="12" r:id="R19e18817596c4f90"/>
    <x:sheet xmlns:r="http://schemas.openxmlformats.org/officeDocument/2006/relationships" name="12_Phase2_pair_review" sheetId="13" r:id="Ra9bd939bf7954ffe"/>
    <x:sheet xmlns:r="http://schemas.openxmlformats.org/officeDocument/2006/relationships" name="13_Phase2_summary" sheetId="14" r:id="Rf36ba850f57c4e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%"/>
  </x:numFmts>
  <x:fonts count="6">
    <x:font>
      <x:sz val="11"/>
      <x:name val="Carlito"/>
    </x:font>
    <x:font>
      <x:b/>
      <x:sz val="18"/>
      <x:color rgb="FF173B5A"/>
      <x:name val="Aptos Display"/>
    </x:font>
    <x:font>
      <x:b/>
      <x:sz val="10"/>
      <x:color rgb="FFFFFFFF"/>
      <x:name val="Aptos"/>
    </x:font>
    <x:font>
      <x:sz val="10"/>
      <x:color rgb="FF17212B"/>
      <x:name val="Aptos"/>
    </x:font>
    <x:font>
      <x:b/>
      <x:sz val="16"/>
      <x:color rgb="FF173B5A"/>
      <x:name val="Aptos Display"/>
    </x:font>
    <x:font>
      <x:i/>
      <x:sz val="10"/>
      <x:color rgb="FF526170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EAF3F8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200" fontId="2" fillId="2" borderId="0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201" fontId="3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13da5c646e4503" /><Relationship Type="http://schemas.openxmlformats.org/officeDocument/2006/relationships/theme" Target="/xl/theme/theme1.xml" Id="R5f66f435a8af47e9" /><Relationship Type="http://schemas.openxmlformats.org/officeDocument/2006/relationships/sharedStrings" Target="/xl/sharedStrings.xml" Id="R88a37fbd4e6d4f62" /><Relationship Type="http://schemas.openxmlformats.org/officeDocument/2006/relationships/worksheet" Target="/xl/worksheets/sheet1.xml" Id="Ra3e9aee264a44a3e" /><Relationship Type="http://schemas.openxmlformats.org/officeDocument/2006/relationships/worksheet" Target="/xl/worksheets/sheet2.xml" Id="Rac080c092f584aab" /><Relationship Type="http://schemas.openxmlformats.org/officeDocument/2006/relationships/worksheet" Target="/xl/worksheets/sheet3.xml" Id="R48b0b0ba12aa4409" /><Relationship Type="http://schemas.openxmlformats.org/officeDocument/2006/relationships/worksheet" Target="/xl/worksheets/sheet4.xml" Id="R40839669ed894eac" /><Relationship Type="http://schemas.openxmlformats.org/officeDocument/2006/relationships/worksheet" Target="/xl/worksheets/sheet5.xml" Id="R35a730ff3bd84725" /><Relationship Type="http://schemas.openxmlformats.org/officeDocument/2006/relationships/worksheet" Target="/xl/worksheets/sheet6.xml" Id="R8b76960c78ae4daa" /><Relationship Type="http://schemas.openxmlformats.org/officeDocument/2006/relationships/worksheet" Target="/xl/worksheets/sheet7.xml" Id="Ra5652a8a42a148a3" /><Relationship Type="http://schemas.openxmlformats.org/officeDocument/2006/relationships/worksheet" Target="/xl/worksheets/sheet8.xml" Id="R8753bf6ea5874cfe" /><Relationship Type="http://schemas.openxmlformats.org/officeDocument/2006/relationships/worksheet" Target="/xl/worksheets/sheet9.xml" Id="R545de73a732a487f" /><Relationship Type="http://schemas.openxmlformats.org/officeDocument/2006/relationships/worksheet" Target="/xl/worksheets/sheet10.xml" Id="R4f5ed89bae084a56" /><Relationship Type="http://schemas.openxmlformats.org/officeDocument/2006/relationships/worksheet" Target="/xl/worksheets/sheet11.xml" Id="R39b847bd8e844be2" /><Relationship Type="http://schemas.openxmlformats.org/officeDocument/2006/relationships/worksheet" Target="/xl/worksheets/sheet12.xml" Id="R19e18817596c4f90" /><Relationship Type="http://schemas.openxmlformats.org/officeDocument/2006/relationships/worksheet" Target="/xl/worksheets/sheet13.xml" Id="Ra9bd939bf7954ffe" /><Relationship Type="http://schemas.openxmlformats.org/officeDocument/2006/relationships/worksheet" Target="/xl/worksheets/sheet14.xml" Id="Rf36ba850f57c4eff" /></Relationships>
</file>

<file path=xl/tables/table1.xml><?xml version="1.0" encoding="utf-8"?>
<x:table xmlns:x="http://schemas.openxmlformats.org/spreadsheetml/2006/main" id="1" name="T01Rawclientoutput" displayName="T01Rawclientoutput" ref="A4:AA7" headerRowCount="1" totalsRowCount="0" totalsRowShown="0">
  <x:tableColumns count="27">
    <x:tableColumn id="1" name="client_row_id"/>
    <x:tableColumn id="2" name="claim_number"/>
    <x:tableColumn id="3" name="recordType"/>
    <x:tableColumn id="4" name="entity_category_name"/>
    <x:tableColumn id="5" name="entity_subcategory_name"/>
    <x:tableColumn id="6" name="entity_name"/>
    <x:tableColumn id="7" name="entity_address"/>
    <x:tableColumn id="8" name="entity_city"/>
    <x:tableColumn id="9" name="entity_state"/>
    <x:tableColumn id="10" name="entity_zip_code"/>
    <x:tableColumn id="11" name="entity_phone"/>
    <x:tableColumn id="12" name="entity_TIN"/>
    <x:tableColumn id="13" name="entity_NER_tag"/>
    <x:tableColumn id="14" name="Entity_Watchlist_flag"/>
    <x:tableColumn id="15" name="Exact_search_Note_ID"/>
    <x:tableColumn id="16" name="Exact_search_matched_watchlist_entity_name"/>
    <x:tableColumn id="17" name="GenAI_search_Note_ID"/>
    <x:tableColumn id="18" name="GenAI_entityNameClearned"/>
    <x:tableColumn id="19" name="GenAI_tok_sort_similarity"/>
    <x:tableColumn id="20" name="Watchlist_entity_id"/>
    <x:tableColumn id="21" name="Watchlist_entity_name"/>
    <x:tableColumn id="22" name="watchlist_address"/>
    <x:tableColumn id="23" name="watchlist_city"/>
    <x:tableColumn id="24" name="watchlist_state"/>
    <x:tableColumn id="25" name="watchlist_zip_code"/>
    <x:tableColumn id="26" name="watchlist_phone"/>
    <x:tableColumn id="27" name="watchlist_TI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02Noteinventory" displayName="T02Noteinventory" ref="A4:D6" headerRowCount="1" totalsRowCount="0" totalsRowShown="0">
  <x:tableColumns count="4">
    <x:tableColumn id="1" name="note_id"/>
    <x:tableColumn id="2" name="claim_number"/>
    <x:tableColumn id="3" name="note_filename"/>
    <x:tableColumn id="4" name="note_text_or_file_re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03Assistedentityreview" displayName="T03Assistedentityreview" ref="A4:J7" headerRowCount="1" totalsRowCount="0" totalsRowShown="0">
  <x:tableColumns count="10">
    <x:tableColumn id="1" name="review_id"/>
    <x:tableColumn id="2" name="client_row_id"/>
    <x:tableColumn id="3" name="claim_number"/>
    <x:tableColumn id="4" name="recordType"/>
    <x:tableColumn id="5" name="decision"/>
    <x:tableColumn id="6" name="entity_ref"/>
    <x:tableColumn id="7" name="source_note_id"/>
    <x:tableColumn id="8" name="source_match_method"/>
    <x:tableColumn id="9" name="source_text"/>
    <x:tableColumn id="10" name="reas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04Entityfieldreview" displayName="T04Entityfieldreview" ref="A4:L7" headerRowCount="1" totalsRowCount="0" totalsRowShown="0">
  <x:tableColumns count="12">
    <x:tableColumn id="1" name="field_review_id"/>
    <x:tableColumn id="2" name="client_row_id"/>
    <x:tableColumn id="3" name="claim_number"/>
    <x:tableColumn id="4" name="entity_ref"/>
    <x:tableColumn id="5" name="field_name"/>
    <x:tableColumn id="6" name="proposed_value"/>
    <x:tableColumn id="7" name="source_note_id"/>
    <x:tableColumn id="8" name="source_text"/>
    <x:tableColumn id="9" name="source_match_method"/>
    <x:tableColumn id="10" name="decision"/>
    <x:tableColumn id="11" name="normalized_or_corrected_value"/>
    <x:tableColumn id="12" name="reas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05Categoryreview" displayName="T05Categoryreview" ref="A4:H6" headerRowCount="1" totalsRowCount="0" totalsRowShown="0">
  <x:tableColumns count="8">
    <x:tableColumn id="1" name="review_id"/>
    <x:tableColumn id="2" name="client_row_id"/>
    <x:tableColumn id="3" name="claim_number"/>
    <x:tableColumn id="4" name="proposed_category"/>
    <x:tableColumn id="5" name="proposed_subcategory"/>
    <x:tableColumn id="6" name="proposed_ner_tag"/>
    <x:tableColumn id="7" name="decision"/>
    <x:tableColumn id="8" name="reas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06Coreferencelinks" displayName="T06Coreferencelinks" ref="A4:I7" headerRowCount="1" totalsRowCount="0" totalsRowShown="0">
  <x:tableColumns count="9">
    <x:tableColumn id="1" name="link_id"/>
    <x:tableColumn id="2" name="claim_number"/>
    <x:tableColumn id="3" name="note_id"/>
    <x:tableColumn id="4" name="exact_text"/>
    <x:tableColumn id="5" name="occurrence"/>
    <x:tableColumn id="6" name="entity_ref"/>
    <x:tableColumn id="7" name="decision"/>
    <x:tableColumn id="8" name="reason"/>
    <x:tableColumn id="9" name="origi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07Blindgoldmentions" displayName="T07Blindgoldmentions" ref="A4:J8" headerRowCount="1" totalsRowCount="0" totalsRowShown="0">
  <x:tableColumns count="10">
    <x:tableColumn id="1" name="mention_id"/>
    <x:tableColumn id="2" name="claim_number"/>
    <x:tableColumn id="3" name="note_id"/>
    <x:tableColumn id="4" name="exact_text"/>
    <x:tableColumn id="5" name="occurrence"/>
    <x:tableColumn id="6" name="entity_ref"/>
    <x:tableColumn id="7" name="entity_type"/>
    <x:tableColumn id="8" name="decision"/>
    <x:tableColumn id="9" name="reason"/>
    <x:tableColumn id="10" name="origi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08Blindgoldentityfields" displayName="T08Blindgoldentityfields" ref="A4:J6" headerRowCount="1" totalsRowCount="0" totalsRowShown="0">
  <x:tableColumns count="10">
    <x:tableColumn id="1" name="gold_field_id"/>
    <x:tableColumn id="2" name="claim_number"/>
    <x:tableColumn id="3" name="entity_ref"/>
    <x:tableColumn id="4" name="field_name"/>
    <x:tableColumn id="5" name="value"/>
    <x:tableColumn id="6" name="note_id"/>
    <x:tableColumn id="7" name="source_text"/>
    <x:tableColumn id="8" name="source_match_method"/>
    <x:tableColumn id="9" name="decision"/>
    <x:tableColumn id="10" name="reas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09Phase1pairreview" displayName="T09Phase1pairreview" ref="A4:H5" headerRowCount="1" totalsRowCount="0" totalsRowShown="0">
  <x:tableColumns count="8">
    <x:tableColumn id="1" name="pair_review_id"/>
    <x:tableColumn id="2" name="client_row_id"/>
    <x:tableColumn id="3" name="claim_number"/>
    <x:tableColumn id="4" name="similarity_score"/>
    <x:tableColumn id="5" name="identity_decision"/>
    <x:tableColumn id="6" name="source_support"/>
    <x:tableColumn id="7" name="reason"/>
    <x:tableColumn id="8" name="review_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Phase2candidateinput" displayName="T11Phase2candidateinput" ref="A4:I5" headerRowCount="1" totalsRowCount="0" totalsRowShown="0">
  <x:tableColumns count="9">
    <x:tableColumn id="1" name="candidate_id"/>
    <x:tableColumn id="2" name="claim_number"/>
    <x:tableColumn id="3" name="client_row_id"/>
    <x:tableColumn id="4" name="candidate_status"/>
    <x:tableColumn id="5" name="similarity_score"/>
    <x:tableColumn id="6" name="watchlist_entity_id"/>
    <x:tableColumn id="7" name="watchlist_entity_name"/>
    <x:tableColumn id="8" name="note_id"/>
    <x:tableColumn id="9" name="source_note_tex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2Phase2pairreview" displayName="T12Phase2pairreview" ref="A4:I5" headerRowCount="1" totalsRowCount="0" totalsRowShown="0">
  <x:tableColumns count="9">
    <x:tableColumn id="1" name="pair_review_id"/>
    <x:tableColumn id="2" name="candidate_id"/>
    <x:tableColumn id="3" name="claim_number"/>
    <x:tableColumn id="4" name="candidate_status"/>
    <x:tableColumn id="5" name="similarity_score"/>
    <x:tableColumn id="6" name="identity_decision"/>
    <x:tableColumn id="7" name="source_support"/>
    <x:tableColumn id="8" name="reason"/>
    <x:tableColumn id="9" name="review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5a6574b1af34c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230835321644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0f0b335bc348a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a761016867742c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9a71791df6a4e3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5e73ff9909642c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ed4ba6036b74b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33fc4517aeb4e1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72542da6b624e9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efea53c4cf694a1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d7d055dae9994fe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110" hidden="0" customWidth="1"/>
  </x:cols>
  <x:sheetData>
    <x:row r="1">
      <x:c r="A1" s="1" t="str">
        <x:v>Entity evaluation review workbook</x:v>
      </x:c>
    </x:row>
    <x:row r="3" ht="32" customHeight="1">
      <x:c r="A3" s="5" t="str">
        <x:v>Step</x:v>
      </x:c>
      <x:c r="B3" s="5" t="str">
        <x:v>Instruction</x:v>
      </x:c>
    </x:row>
    <x:row r="4" ht="32" customHeight="1">
      <x:c r="A4" s="9" t="str">
        <x:v>Load client input</x:v>
      </x:c>
      <x:c r="B4" s="9" t="str">
        <x:v>Paste the supplied client export unchanged into 01_Raw_client_output. Add client_row_id only when absent.</x:v>
      </x:c>
    </x:row>
    <x:row r="5" ht="32" customHeight="1">
      <x:c r="A5" s="9" t="str">
        <x:v>Read notes</x:v>
      </x:c>
      <x:c r="B5" s="9" t="str">
        <x:v>Keep complete note text in the separate text-file packet. 02_Note_inventory is the lookup list.</x:v>
      </x:c>
    </x:row>
    <x:row r="6" ht="32" customHeight="1">
      <x:c r="A6" s="9" t="str">
        <x:v>Assisted review</x:v>
      </x:c>
      <x:c r="B6" s="9" t="str">
        <x:v>Review entity grouping in 03 and every nonblank name, address, city, state, ZIP, phone, and TIN value in 04.</x:v>
      </x:c>
    </x:row>
    <x:row r="7" ht="32" customHeight="1">
      <x:c r="A7" s="9" t="str">
        <x:v>Classification and coreference</x:v>
      </x:c>
      <x:c r="B7" s="9" t="str">
        <x:v>Review category/subtype/NER in 05 and record names, pronouns, aliases, and descriptions in 06.</x:v>
      </x:c>
    </x:row>
    <x:row r="8" ht="32" customHeight="1">
      <x:c r="A8" s="9" t="str">
        <x:v>Blind gold</x:v>
      </x:c>
      <x:c r="B8" s="9" t="str">
        <x:v>For selected claims, complete 07 and 08 before reviewing client data for that claim.</x:v>
      </x:c>
    </x:row>
    <x:row r="9" ht="32" customHeight="1">
      <x:c r="A9" s="9" t="str">
        <x:v>Phase 1 and 2</x:v>
      </x:c>
      <x:c r="B9" s="9" t="str">
        <x:v>Review returned high-score pairs in 09. Use 11 through 13 only after a wider frozen candidate export is available.</x:v>
      </x:c>
    </x:row>
    <x:row r="10" ht="32" customHeight="1">
      <x:c r="A10" s="9" t="str">
        <x:v>Handoff</x:v>
      </x:c>
      <x:c r="B10" s="9" t="str">
        <x:v>Do not overwrite raw client input. Save exact source wording and reasons on the designated review sheets.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6" hidden="0" customWidth="1"/>
    <x:col min="2" max="2" width="15" hidden="0" customWidth="1"/>
    <x:col min="3" max="3" width="14" hidden="0" customWidth="1"/>
    <x:col min="4" max="4" width="23" hidden="0" customWidth="1"/>
    <x:col min="5" max="5" width="26" hidden="0" customWidth="1"/>
    <x:col min="6" max="6" width="14" hidden="0" customWidth="1"/>
    <x:col min="7" max="7" width="17" hidden="0" customWidth="1"/>
    <x:col min="8" max="8" width="14" hidden="0" customWidth="1"/>
    <x:col min="9" max="9" width="15" hidden="0" customWidth="1"/>
    <x:col min="10" max="10" width="18" hidden="0" customWidth="1"/>
    <x:col min="11" max="11" width="15" hidden="0" customWidth="1"/>
    <x:col min="12" max="12" width="14" hidden="0" customWidth="1"/>
    <x:col min="13" max="13" width="17" hidden="0" customWidth="1"/>
    <x:col min="14" max="14" width="24" hidden="0" customWidth="1"/>
    <x:col min="15" max="15" width="23" hidden="0" customWidth="1"/>
    <x:col min="16" max="16" width="34" hidden="0" customWidth="1"/>
    <x:col min="17" max="17" width="23" hidden="0" customWidth="1"/>
    <x:col min="18" max="18" width="27" hidden="0" customWidth="1"/>
    <x:col min="19" max="19" width="28" hidden="0" customWidth="1"/>
    <x:col min="20" max="20" width="22" hidden="0" customWidth="1"/>
    <x:col min="21" max="21" width="24" hidden="0" customWidth="1"/>
    <x:col min="22" max="22" width="20" hidden="0" customWidth="1"/>
    <x:col min="23" max="23" width="17" hidden="0" customWidth="1"/>
    <x:col min="24" max="24" width="18" hidden="0" customWidth="1"/>
    <x:col min="25" max="25" width="21" hidden="0" customWidth="1"/>
    <x:col min="26" max="26" width="18" hidden="0" customWidth="1"/>
    <x:col min="27" max="27" width="16" hidden="0" customWidth="1"/>
  </x:cols>
  <x:sheetData>
    <x:row r="1">
      <x:c r="A1" s="10" t="str">
        <x:v>Raw client output</x:v>
      </x:c>
    </x:row>
    <x:row r="2">
      <x:c r="A2" s="11" t="str">
        <x:v>Fictional completed example.</x:v>
      </x:c>
    </x:row>
    <x:row r="4" ht="32" customHeight="1">
      <x:c r="A4" s="12" t="str">
        <x:v>client_row_id</x:v>
      </x:c>
      <x:c r="B4" s="12" t="str">
        <x:v>claim_number</x:v>
      </x:c>
      <x:c r="C4" s="12" t="str">
        <x:v>recordType</x:v>
      </x:c>
      <x:c r="D4" s="12" t="str">
        <x:v>entity_category_name</x:v>
      </x:c>
      <x:c r="E4" s="12" t="str">
        <x:v>entity_subcategory_name</x:v>
      </x:c>
      <x:c r="F4" s="12" t="str">
        <x:v>entity_name</x:v>
      </x:c>
      <x:c r="G4" s="12" t="str">
        <x:v>entity_address</x:v>
      </x:c>
      <x:c r="H4" s="12" t="str">
        <x:v>entity_city</x:v>
      </x:c>
      <x:c r="I4" s="12" t="str">
        <x:v>entity_state</x:v>
      </x:c>
      <x:c r="J4" s="12" t="str">
        <x:v>entity_zip_code</x:v>
      </x:c>
      <x:c r="K4" s="12" t="str">
        <x:v>entity_phone</x:v>
      </x:c>
      <x:c r="L4" s="12" t="str">
        <x:v>entity_TIN</x:v>
      </x:c>
      <x:c r="M4" s="12" t="str">
        <x:v>entity_NER_tag</x:v>
      </x:c>
      <x:c r="N4" s="12" t="str">
        <x:v>Entity_Watchlist_flag</x:v>
      </x:c>
      <x:c r="O4" s="12" t="str">
        <x:v>Exact_search_Note_ID</x:v>
      </x:c>
      <x:c r="P4" s="12" t="str">
        <x:v>Exact_search_matched_watchlist_entity_name</x:v>
      </x:c>
      <x:c r="Q4" s="12" t="str">
        <x:v>GenAI_search_Note_ID</x:v>
      </x:c>
      <x:c r="R4" s="12" t="str">
        <x:v>GenAI_entityNameClearned</x:v>
      </x:c>
      <x:c r="S4" s="12" t="str">
        <x:v>GenAI_tok_sort_similarity</x:v>
      </x:c>
      <x:c r="T4" s="12" t="str">
        <x:v>Watchlist_entity_id</x:v>
      </x:c>
      <x:c r="U4" s="12" t="str">
        <x:v>Watchlist_entity_name</x:v>
      </x:c>
      <x:c r="V4" s="12" t="str">
        <x:v>watchlist_address</x:v>
      </x:c>
      <x:c r="W4" s="12" t="str">
        <x:v>watchlist_city</x:v>
      </x:c>
      <x:c r="X4" s="12" t="str">
        <x:v>watchlist_state</x:v>
      </x:c>
      <x:c r="Y4" s="12" t="str">
        <x:v>watchlist_zip_code</x:v>
      </x:c>
      <x:c r="Z4" s="12" t="str">
        <x:v>watchlist_phone</x:v>
      </x:c>
      <x:c r="AA4" s="12" t="str">
        <x:v>watchlist_TIN</x:v>
      </x:c>
    </x:row>
    <x:row r="5" ht="32" customHeight="1">
      <x:c r="A5" s="13" t="str">
        <x:v>CR1</x:v>
      </x:c>
      <x:c r="B5" s="13" t="str">
        <x:v>C104</x:v>
      </x:c>
      <x:c r="C5" s="13" t="str">
        <x:v>entity</x:v>
      </x:c>
      <x:c r="D5" s="13" t="str">
        <x:v>legal</x:v>
      </x:c>
      <x:c r="E5" s="13" t="str">
        <x:v>law_firm</x:v>
      </x:c>
      <x:c r="F5" s="13" t="str">
        <x:v>Harbor Legal</x:v>
      </x:c>
      <x:c r="G5" s="13" t="str">
        <x:v>10 Bay Street</x:v>
      </x:c>
      <x:c r="H5" s="13" t="str">
        <x:v>Exampleton</x:v>
      </x:c>
      <x:c r="I5" s="13" t="str">
        <x:v>IL</x:v>
      </x:c>
      <x:c r="J5" s="13" t="str">
        <x:v>00000</x:v>
      </x:c>
      <x:c r="K5" s="13" t="str">
        <x:v>555-0101</x:v>
      </x:c>
      <x:c r="L5" s="13" t="str">
        <x:v>TRAINING-001</x:v>
      </x:c>
      <x:c r="M5" s="13" t="str">
        <x:v>ORG</x:v>
      </x:c>
      <x:c r="N5" s="13" t="str">
        <x:v>1</x:v>
      </x:c>
      <x:c r="O5" s="13" t="str">
        <x:v>N02</x:v>
      </x:c>
      <x:c r="P5" s="13" t="str">
        <x:v>Harbor Legal</x:v>
      </x:c>
      <x:c r="Q5" s="13" t="str">
        <x:v>N02</x:v>
      </x:c>
      <x:c r="R5" s="13" t="str">
        <x:v>Harbor Legal</x:v>
      </x:c>
      <x:c r="S5" s="13" t="n">
        <x:v>100</x:v>
      </x:c>
      <x:c r="T5" s="13" t="str">
        <x:v>WL-01</x:v>
      </x:c>
      <x:c r="U5" s="13" t="str">
        <x:v>Harbor Legal</x:v>
      </x:c>
      <x:c r="V5" s="13" t="str">
        <x:v>10 Bay Street</x:v>
      </x:c>
      <x:c r="W5" s="13" t="str">
        <x:v>Exampleton</x:v>
      </x:c>
      <x:c r="X5" s="13" t="str">
        <x:v>IL</x:v>
      </x:c>
      <x:c r="Y5" s="13" t="str">
        <x:v>00000</x:v>
      </x:c>
      <x:c r="Z5" s="13" t="str">
        <x:v>555-0101</x:v>
      </x:c>
      <x:c r="AA5" s="13" t="str">
        <x:v>TRAINING-001</x:v>
      </x:c>
    </x:row>
    <x:row r="6" ht="32" customHeight="1">
      <x:c r="A6" s="13" t="str">
        <x:v>CR2</x:v>
      </x:c>
      <x:c r="B6" s="13" t="str">
        <x:v>C104</x:v>
      </x:c>
      <x:c r="C6" s="13" t="str">
        <x:v>exact_search</x:v>
      </x:c>
      <x:c r="D6" s="13" t="str">
        <x:v>legal</x:v>
      </x:c>
      <x:c r="E6" s="13" t="str">
        <x:v>law_firm</x:v>
      </x:c>
      <x:c r="F6" s="13" t="str">
        <x:v>Harbor Legal</x:v>
      </x:c>
      <x:c r="G6" s="13" t="str"/>
      <x:c r="H6" s="13" t="str"/>
      <x:c r="I6" s="13" t="str"/>
      <x:c r="J6" s="13" t="str"/>
      <x:c r="K6" s="13" t="str"/>
      <x:c r="L6" s="13" t="str"/>
      <x:c r="M6" s="13" t="str">
        <x:v>ORG</x:v>
      </x:c>
      <x:c r="N6" s="13" t="str">
        <x:v>1</x:v>
      </x:c>
      <x:c r="O6" s="13" t="str">
        <x:v>N02</x:v>
      </x:c>
      <x:c r="P6" s="13" t="str">
        <x:v>Harbor Legal</x:v>
      </x:c>
      <x:c r="Q6" s="13" t="str"/>
      <x:c r="R6" s="13" t="str"/>
      <x:c r="S6" s="13" t="str"/>
      <x:c r="T6" s="13" t="str">
        <x:v>WL-01</x:v>
      </x:c>
      <x:c r="U6" s="13" t="str">
        <x:v>Harbor Legal</x:v>
      </x:c>
      <x:c r="V6" s="13" t="str">
        <x:v>10 Bay Street</x:v>
      </x:c>
      <x:c r="W6" s="13" t="str">
        <x:v>Exampleton</x:v>
      </x:c>
      <x:c r="X6" s="13" t="str">
        <x:v>IL</x:v>
      </x:c>
      <x:c r="Y6" s="13" t="str">
        <x:v>00000</x:v>
      </x:c>
      <x:c r="Z6" s="13" t="str">
        <x:v>555-0101</x:v>
      </x:c>
      <x:c r="AA6" s="13" t="str">
        <x:v>TRAINING-001</x:v>
      </x:c>
    </x:row>
    <x:row r="7" ht="32" customHeight="1">
      <x:c r="A7" s="13" t="str">
        <x:v>CR3</x:v>
      </x:c>
      <x:c r="B7" s="13" t="str">
        <x:v>C104</x:v>
      </x:c>
      <x:c r="C7" s="13" t="str">
        <x:v>genai_only</x:v>
      </x:c>
      <x:c r="D7" s="13" t="str">
        <x:v>legal</x:v>
      </x:c>
      <x:c r="E7" s="13" t="str">
        <x:v>representative</x:v>
      </x:c>
      <x:c r="F7" s="13" t="str">
        <x:v>Elena Ruiz</x:v>
      </x:c>
      <x:c r="G7" s="13" t="str"/>
      <x:c r="H7" s="13" t="str"/>
      <x:c r="I7" s="13" t="str"/>
      <x:c r="J7" s="13" t="str"/>
      <x:c r="K7" s="13" t="str"/>
      <x:c r="L7" s="13" t="str"/>
      <x:c r="M7" s="13" t="str">
        <x:v>PERSON</x:v>
      </x:c>
      <x:c r="N7" s="13" t="str">
        <x:v>0</x:v>
      </x:c>
      <x:c r="O7" s="13" t="str"/>
      <x:c r="P7" s="13" t="str"/>
      <x:c r="Q7" s="13" t="str">
        <x:v>N01</x:v>
      </x:c>
      <x:c r="R7" s="13" t="str">
        <x:v>Elena Ruiz</x:v>
      </x:c>
      <x:c r="S7" s="13" t="str"/>
      <x:c r="T7" s="13" t="str"/>
      <x:c r="U7" s="13" t="str"/>
      <x:c r="V7" s="13" t="str"/>
      <x:c r="W7" s="13" t="str"/>
      <x:c r="X7" s="13" t="str"/>
      <x:c r="Y7" s="13" t="str"/>
      <x:c r="Z7" s="13" t="str"/>
      <x:c r="AA7" s="13" t="str"/>
    </x:row>
  </x:sheetData>
  <x:pageMargins left="0.7" right="0.7" top="0.75" bottom="0.75" header="0.3" footer="0.3"/>
  <x:tableParts count="1">
    <x:tablePart xmlns:r="http://schemas.openxmlformats.org/officeDocument/2006/relationships" r:id="Rc5a6574b1af34c9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6" hidden="0" customWidth="1"/>
    <x:col min="4" max="4" width="30" hidden="0" customWidth="1"/>
  </x:cols>
  <x:sheetData>
    <x:row r="1">
      <x:c r="A1" s="10" t="str">
        <x:v>Note inventory</x:v>
      </x:c>
    </x:row>
    <x:row r="2">
      <x:c r="A2" s="11" t="str">
        <x:v>Fictional completed example.</x:v>
      </x:c>
    </x:row>
    <x:row r="4" ht="32" customHeight="1">
      <x:c r="A4" s="12" t="str">
        <x:v>note_id</x:v>
      </x:c>
      <x:c r="B4" s="12" t="str">
        <x:v>claim_number</x:v>
      </x:c>
      <x:c r="C4" s="12" t="str">
        <x:v>note_filename</x:v>
      </x:c>
      <x:c r="D4" s="12" t="str">
        <x:v>note_text_or_file_reference</x:v>
      </x:c>
    </x:row>
    <x:row r="5" ht="32" customHeight="1">
      <x:c r="A5" s="13" t="str">
        <x:v>N01</x:v>
      </x:c>
      <x:c r="B5" s="13" t="str">
        <x:v>C104</x:v>
      </x:c>
      <x:c r="C5" s="13" t="str">
        <x:v>C104_N01.txt</x:v>
      </x:c>
      <x:c r="D5" s="13" t="str">
        <x:v>Maya Chen called. She said Elena Ruiz of Harbor Legal represents her.</x:v>
      </x:c>
    </x:row>
    <x:row r="6" ht="32" customHeight="1">
      <x:c r="A6" s="13" t="str">
        <x:v>N02</x:v>
      </x:c>
      <x:c r="B6" s="13" t="str">
        <x:v>C104</x:v>
      </x:c>
      <x:c r="C6" s="13" t="str">
        <x:v>C104_N02.txt</x:v>
      </x:c>
      <x:c r="D6" s="13" t="str">
        <x:v>Harbor Legal emailed Maya Chen. Harbor Legal requested a reply. The firm asked Elena Ruiz to respond.</x:v>
      </x:c>
    </x:row>
  </x:sheetData>
  <x:pageMargins left="0.7" right="0.7" top="0.75" bottom="0.75" header="0.3" footer="0.3"/>
  <x:tableParts count="1">
    <x:tablePart xmlns:r="http://schemas.openxmlformats.org/officeDocument/2006/relationships" r:id="R692308353216445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5" hidden="0" customWidth="1"/>
    <x:col min="4" max="4" width="14" hidden="0" customWidth="1"/>
    <x:col min="5" max="5" width="14" hidden="0" customWidth="1"/>
    <x:col min="6" max="6" width="14" hidden="0" customWidth="1"/>
    <x:col min="7" max="7" width="17" hidden="0" customWidth="1"/>
    <x:col min="8" max="8" width="22" hidden="0" customWidth="1"/>
    <x:col min="9" max="9" width="14" hidden="0" customWidth="1"/>
    <x:col min="10" max="10" width="14" hidden="0" customWidth="1"/>
  </x:cols>
  <x:sheetData>
    <x:row r="1">
      <x:c r="A1" s="10" t="str">
        <x:v>Assisted entity review</x:v>
      </x:c>
    </x:row>
    <x:row r="2">
      <x:c r="A2" s="11" t="str">
        <x:v>Fictional completed example.</x:v>
      </x:c>
    </x:row>
    <x:row r="4" ht="32" customHeight="1">
      <x:c r="A4" s="12" t="str">
        <x:v>review_id</x:v>
      </x:c>
      <x:c r="B4" s="12" t="str">
        <x:v>client_row_id</x:v>
      </x:c>
      <x:c r="C4" s="12" t="str">
        <x:v>claim_number</x:v>
      </x:c>
      <x:c r="D4" s="12" t="str">
        <x:v>recordType</x:v>
      </x:c>
      <x:c r="E4" s="12" t="str">
        <x:v>decision</x:v>
      </x:c>
      <x:c r="F4" s="12" t="str">
        <x:v>entity_ref</x:v>
      </x:c>
      <x:c r="G4" s="12" t="str">
        <x:v>source_note_id</x:v>
      </x:c>
      <x:c r="H4" s="12" t="str">
        <x:v>source_match_method</x:v>
      </x:c>
      <x:c r="I4" s="12" t="str">
        <x:v>source_text</x:v>
      </x:c>
      <x:c r="J4" s="12" t="str">
        <x:v>reason</x:v>
      </x:c>
    </x:row>
    <x:row r="5" ht="32" customHeight="1">
      <x:c r="A5" s="13" t="str">
        <x:v>AR1</x:v>
      </x:c>
      <x:c r="B5" s="13" t="str">
        <x:v>CR1</x:v>
      </x:c>
      <x:c r="C5" s="13" t="str">
        <x:v>C104</x:v>
      </x:c>
      <x:c r="D5" s="13" t="str">
        <x:v>entity</x:v>
      </x:c>
      <x:c r="E5" s="13" t="str">
        <x:v>accepted</x:v>
      </x:c>
      <x:c r="F5" s="13" t="str">
        <x:v>E1</x:v>
      </x:c>
      <x:c r="G5" s="13" t="str">
        <x:v>N02</x:v>
      </x:c>
      <x:c r="H5" s="13" t="str">
        <x:v>exact_or_normalized</x:v>
      </x:c>
      <x:c r="I5" s="13" t="str">
        <x:v>Harbor Legal</x:v>
      </x:c>
      <x:c r="J5" s="13" t="str">
        <x:v>Named firm; field values also appear in the client row.</x:v>
      </x:c>
    </x:row>
    <x:row r="6" ht="32" customHeight="1">
      <x:c r="A6" s="13" t="str">
        <x:v>AR2</x:v>
      </x:c>
      <x:c r="B6" s="13" t="str">
        <x:v>CR2</x:v>
      </x:c>
      <x:c r="C6" s="13" t="str">
        <x:v>C104</x:v>
      </x:c>
      <x:c r="D6" s="13" t="str">
        <x:v>exact_search</x:v>
      </x:c>
      <x:c r="E6" s="13" t="str">
        <x:v>accepted</x:v>
      </x:c>
      <x:c r="F6" s="13" t="str">
        <x:v>E1</x:v>
      </x:c>
      <x:c r="G6" s="13" t="str">
        <x:v>N02</x:v>
      </x:c>
      <x:c r="H6" s="13" t="str">
        <x:v>exact_or_normalized</x:v>
      </x:c>
      <x:c r="I6" s="13" t="str">
        <x:v>Harbor Legal</x:v>
      </x:c>
      <x:c r="J6" s="13" t="str">
        <x:v>Same local entity as CR1.</x:v>
      </x:c>
    </x:row>
    <x:row r="7" ht="32" customHeight="1">
      <x:c r="A7" s="13" t="str">
        <x:v>AR3</x:v>
      </x:c>
      <x:c r="B7" s="13" t="str">
        <x:v>CR3</x:v>
      </x:c>
      <x:c r="C7" s="13" t="str">
        <x:v>C104</x:v>
      </x:c>
      <x:c r="D7" s="13" t="str">
        <x:v>genai_only</x:v>
      </x:c>
      <x:c r="E7" s="13" t="str">
        <x:v>accepted</x:v>
      </x:c>
      <x:c r="F7" s="13" t="str">
        <x:v>E2</x:v>
      </x:c>
      <x:c r="G7" s="13" t="str">
        <x:v>N01</x:v>
      </x:c>
      <x:c r="H7" s="13" t="str">
        <x:v>exact_or_normalized</x:v>
      </x:c>
      <x:c r="I7" s="13" t="str">
        <x:v>Elena Ruiz</x:v>
      </x:c>
      <x:c r="J7" s="13" t="str">
        <x:v>Named representative.</x:v>
      </x:c>
    </x:row>
  </x:sheetData>
  <x:dataValidations count="1">
    <x:dataValidation type="list" sqref="E5:E7">
      <x:formula1>"accepted,corrected,rejected,ambiguous,not_assessable"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0f0b335bc348a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8" hidden="0" customWidth="1"/>
    <x:col min="2" max="2" width="16" hidden="0" customWidth="1"/>
    <x:col min="3" max="3" width="15" hidden="0" customWidth="1"/>
    <x:col min="4" max="4" width="14" hidden="0" customWidth="1"/>
    <x:col min="5" max="5" width="14" hidden="0" customWidth="1"/>
    <x:col min="6" max="6" width="17" hidden="0" customWidth="1"/>
    <x:col min="7" max="7" width="17" hidden="0" customWidth="1"/>
    <x:col min="8" max="8" width="14" hidden="0" customWidth="1"/>
    <x:col min="9" max="9" width="22" hidden="0" customWidth="1"/>
    <x:col min="10" max="10" width="14" hidden="0" customWidth="1"/>
    <x:col min="11" max="11" width="32" hidden="0" customWidth="1"/>
    <x:col min="12" max="12" width="14" hidden="0" customWidth="1"/>
  </x:cols>
  <x:sheetData>
    <x:row r="1">
      <x:c r="A1" s="10" t="str">
        <x:v>Individual entity-field review</x:v>
      </x:c>
    </x:row>
    <x:row r="2">
      <x:c r="A2" s="11" t="str">
        <x:v>Fictional completed example.</x:v>
      </x:c>
    </x:row>
    <x:row r="4" ht="32" customHeight="1">
      <x:c r="A4" s="12" t="str">
        <x:v>field_review_id</x:v>
      </x:c>
      <x:c r="B4" s="12" t="str">
        <x:v>client_row_id</x:v>
      </x:c>
      <x:c r="C4" s="12" t="str">
        <x:v>claim_number</x:v>
      </x:c>
      <x:c r="D4" s="12" t="str">
        <x:v>entity_ref</x:v>
      </x:c>
      <x:c r="E4" s="12" t="str">
        <x:v>field_name</x:v>
      </x:c>
      <x:c r="F4" s="12" t="str">
        <x:v>proposed_value</x:v>
      </x:c>
      <x:c r="G4" s="12" t="str">
        <x:v>source_note_id</x:v>
      </x:c>
      <x:c r="H4" s="12" t="str">
        <x:v>source_text</x:v>
      </x:c>
      <x:c r="I4" s="12" t="str">
        <x:v>source_match_method</x:v>
      </x:c>
      <x:c r="J4" s="12" t="str">
        <x:v>decision</x:v>
      </x:c>
      <x:c r="K4" s="12" t="str">
        <x:v>normalized_or_corrected_value</x:v>
      </x:c>
      <x:c r="L4" s="12" t="str">
        <x:v>reason</x:v>
      </x:c>
    </x:row>
    <x:row r="5" ht="32" customHeight="1">
      <x:c r="A5" s="13" t="str">
        <x:v>FR1</x:v>
      </x:c>
      <x:c r="B5" s="13" t="str">
        <x:v>CR1</x:v>
      </x:c>
      <x:c r="C5" s="13" t="str">
        <x:v>C104</x:v>
      </x:c>
      <x:c r="D5" s="13" t="str">
        <x:v>E1</x:v>
      </x:c>
      <x:c r="E5" s="13" t="str">
        <x:v>entity_name</x:v>
      </x:c>
      <x:c r="F5" s="13" t="str">
        <x:v>Harbor Legal</x:v>
      </x:c>
      <x:c r="G5" s="13" t="str">
        <x:v>N02</x:v>
      </x:c>
      <x:c r="H5" s="13" t="str">
        <x:v>Harbor Legal</x:v>
      </x:c>
      <x:c r="I5" s="13" t="str">
        <x:v>exact</x:v>
      </x:c>
      <x:c r="J5" s="13" t="str">
        <x:v>supported</x:v>
      </x:c>
      <x:c r="K5" s="13" t="str">
        <x:v>Harbor Legal</x:v>
      </x:c>
      <x:c r="L5" s="13" t="str">
        <x:v>Named firm in note.</x:v>
      </x:c>
    </x:row>
    <x:row r="6" ht="32" customHeight="1">
      <x:c r="A6" s="13" t="str">
        <x:v>FR2</x:v>
      </x:c>
      <x:c r="B6" s="13" t="str">
        <x:v>CR1</x:v>
      </x:c>
      <x:c r="C6" s="13" t="str">
        <x:v>C104</x:v>
      </x:c>
      <x:c r="D6" s="13" t="str">
        <x:v>E1</x:v>
      </x:c>
      <x:c r="E6" s="13" t="str">
        <x:v>entity_address</x:v>
      </x:c>
      <x:c r="F6" s="13" t="str">
        <x:v>10 Bay Street</x:v>
      </x:c>
      <x:c r="G6" s="13" t="str">
        <x:v>N01</x:v>
      </x:c>
      <x:c r="H6" s="13" t="str">
        <x:v>10 Bay Street</x:v>
      </x:c>
      <x:c r="I6" s="13" t="str">
        <x:v>exact</x:v>
      </x:c>
      <x:c r="J6" s="13" t="str">
        <x:v>supported</x:v>
      </x:c>
      <x:c r="K6" s="13" t="str">
        <x:v>10 Bay Street</x:v>
      </x:c>
      <x:c r="L6" s="13" t="str">
        <x:v>Contact record in note.</x:v>
      </x:c>
    </x:row>
    <x:row r="7" ht="32" customHeight="1">
      <x:c r="A7" s="13" t="str">
        <x:v>FR3</x:v>
      </x:c>
      <x:c r="B7" s="13" t="str">
        <x:v>CR1</x:v>
      </x:c>
      <x:c r="C7" s="13" t="str">
        <x:v>C104</x:v>
      </x:c>
      <x:c r="D7" s="13" t="str">
        <x:v>E1</x:v>
      </x:c>
      <x:c r="E7" s="13" t="str">
        <x:v>entity_TIN</x:v>
      </x:c>
      <x:c r="F7" s="13" t="str">
        <x:v>TRAINING-001</x:v>
      </x:c>
      <x:c r="G7" s="13" t="str">
        <x:v>N02</x:v>
      </x:c>
      <x:c r="H7" s="13" t="str">
        <x:v>TIN TRAINING-001</x:v>
      </x:c>
      <x:c r="I7" s="13" t="str">
        <x:v>exact</x:v>
      </x:c>
      <x:c r="J7" s="13" t="str">
        <x:v>supported</x:v>
      </x:c>
      <x:c r="K7" s="13" t="str">
        <x:v>TRAINING-001</x:v>
      </x:c>
      <x:c r="L7" s="13" t="str">
        <x:v>Sender block in note.</x:v>
      </x:c>
    </x:row>
  </x:sheetData>
  <x:dataValidations count="1">
    <x:dataValidation type="list" sqref="J5:J7">
      <x:formula1>"supported,contradicted,not_found,ambiguous,not_assessable"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761016867742c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5" hidden="0" customWidth="1"/>
    <x:col min="4" max="4" width="20" hidden="0" customWidth="1"/>
    <x:col min="5" max="5" width="23" hidden="0" customWidth="1"/>
    <x:col min="6" max="6" width="19" hidden="0" customWidth="1"/>
    <x:col min="7" max="7" width="14" hidden="0" customWidth="1"/>
    <x:col min="8" max="8" width="14" hidden="0" customWidth="1"/>
  </x:cols>
  <x:sheetData>
    <x:row r="1">
      <x:c r="A1" s="10" t="str">
        <x:v>Category, subtype, and NER review</x:v>
      </x:c>
    </x:row>
    <x:row r="2">
      <x:c r="A2" s="11" t="str">
        <x:v>Fictional completed example.</x:v>
      </x:c>
    </x:row>
    <x:row r="4" ht="32" customHeight="1">
      <x:c r="A4" s="12" t="str">
        <x:v>review_id</x:v>
      </x:c>
      <x:c r="B4" s="12" t="str">
        <x:v>client_row_id</x:v>
      </x:c>
      <x:c r="C4" s="12" t="str">
        <x:v>claim_number</x:v>
      </x:c>
      <x:c r="D4" s="12" t="str">
        <x:v>proposed_category</x:v>
      </x:c>
      <x:c r="E4" s="12" t="str">
        <x:v>proposed_subcategory</x:v>
      </x:c>
      <x:c r="F4" s="12" t="str">
        <x:v>proposed_ner_tag</x:v>
      </x:c>
      <x:c r="G4" s="12" t="str">
        <x:v>decision</x:v>
      </x:c>
      <x:c r="H4" s="12" t="str">
        <x:v>reason</x:v>
      </x:c>
    </x:row>
    <x:row r="5" ht="32" customHeight="1">
      <x:c r="A5" s="13" t="str">
        <x:v>CAT1</x:v>
      </x:c>
      <x:c r="B5" s="13" t="str">
        <x:v>CR1</x:v>
      </x:c>
      <x:c r="C5" s="13" t="str">
        <x:v>C104</x:v>
      </x:c>
      <x:c r="D5" s="13" t="str">
        <x:v>legal</x:v>
      </x:c>
      <x:c r="E5" s="13" t="str">
        <x:v>law_firm</x:v>
      </x:c>
      <x:c r="F5" s="13" t="str">
        <x:v>ORG</x:v>
      </x:c>
      <x:c r="G5" s="13" t="str">
        <x:v>supported</x:v>
      </x:c>
      <x:c r="H5" s="13" t="str">
        <x:v>The note calls Harbor Legal a firm.</x:v>
      </x:c>
    </x:row>
    <x:row r="6" ht="32" customHeight="1">
      <x:c r="A6" s="13" t="str">
        <x:v>CAT2</x:v>
      </x:c>
      <x:c r="B6" s="13" t="str">
        <x:v>CR3</x:v>
      </x:c>
      <x:c r="C6" s="13" t="str">
        <x:v>C104</x:v>
      </x:c>
      <x:c r="D6" s="13" t="str">
        <x:v>legal</x:v>
      </x:c>
      <x:c r="E6" s="13" t="str">
        <x:v>representative</x:v>
      </x:c>
      <x:c r="F6" s="13" t="str">
        <x:v>PERSON</x:v>
      </x:c>
      <x:c r="G6" s="13" t="str">
        <x:v>supported</x:v>
      </x:c>
      <x:c r="H6" s="13" t="str">
        <x:v>Elena Ruiz is named as a representative in context.</x:v>
      </x:c>
    </x:row>
  </x:sheetData>
  <x:dataValidations count="1">
    <x:dataValidation type="list" sqref="G5:G6">
      <x:formula1>"supported,contradicted,ambiguous,not_assessable"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a71791df6a4e3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>
      <x:c r="A1" s="10" t="str">
        <x:v>Coreference links</x:v>
      </x:c>
    </x:row>
    <x:row r="2">
      <x:c r="A2" s="11" t="str">
        <x:v>Fictional completed example.</x:v>
      </x:c>
    </x:row>
    <x:row r="4" ht="32" customHeight="1">
      <x:c r="A4" s="12" t="str">
        <x:v>link_id</x:v>
      </x:c>
      <x:c r="B4" s="12" t="str">
        <x:v>claim_number</x:v>
      </x:c>
      <x:c r="C4" s="12" t="str">
        <x:v>note_id</x:v>
      </x:c>
      <x:c r="D4" s="12" t="str">
        <x:v>exact_text</x:v>
      </x:c>
      <x:c r="E4" s="12" t="str">
        <x:v>occurrence</x:v>
      </x:c>
      <x:c r="F4" s="12" t="str">
        <x:v>entity_ref</x:v>
      </x:c>
      <x:c r="G4" s="12" t="str">
        <x:v>decision</x:v>
      </x:c>
      <x:c r="H4" s="12" t="str">
        <x:v>reason</x:v>
      </x:c>
      <x:c r="I4" s="12" t="str">
        <x:v>origin</x:v>
      </x:c>
    </x:row>
    <x:row r="5" ht="32" customHeight="1">
      <x:c r="A5" s="13" t="str">
        <x:v>CL1</x:v>
      </x:c>
      <x:c r="B5" s="13" t="str">
        <x:v>C104</x:v>
      </x:c>
      <x:c r="C5" s="13" t="str">
        <x:v>N02</x:v>
      </x:c>
      <x:c r="D5" s="13" t="str">
        <x:v>Harbor Legal</x:v>
      </x:c>
      <x:c r="E5" s="13" t="n">
        <x:v>1</x:v>
      </x:c>
      <x:c r="F5" s="13" t="str">
        <x:v>E1</x:v>
      </x:c>
      <x:c r="G5" s="13" t="str">
        <x:v>resolved</x:v>
      </x:c>
      <x:c r="H5" s="13" t="str">
        <x:v>First name mention</x:v>
      </x:c>
      <x:c r="I5" s="13" t="str">
        <x:v>SME_added</x:v>
      </x:c>
    </x:row>
    <x:row r="6" ht="32" customHeight="1">
      <x:c r="A6" s="13" t="str">
        <x:v>CL2</x:v>
      </x:c>
      <x:c r="B6" s="13" t="str">
        <x:v>C104</x:v>
      </x:c>
      <x:c r="C6" s="13" t="str">
        <x:v>N02</x:v>
      </x:c>
      <x:c r="D6" s="13" t="str">
        <x:v>Harbor Legal</x:v>
      </x:c>
      <x:c r="E6" s="13" t="n">
        <x:v>2</x:v>
      </x:c>
      <x:c r="F6" s="13" t="str">
        <x:v>E1</x:v>
      </x:c>
      <x:c r="G6" s="13" t="str">
        <x:v>resolved</x:v>
      </x:c>
      <x:c r="H6" s="13" t="str">
        <x:v>Second name mention</x:v>
      </x:c>
      <x:c r="I6" s="13" t="str">
        <x:v>SME_added</x:v>
      </x:c>
    </x:row>
    <x:row r="7" ht="32" customHeight="1">
      <x:c r="A7" s="13" t="str">
        <x:v>CL3</x:v>
      </x:c>
      <x:c r="B7" s="13" t="str">
        <x:v>C104</x:v>
      </x:c>
      <x:c r="C7" s="13" t="str">
        <x:v>N02</x:v>
      </x:c>
      <x:c r="D7" s="13" t="str">
        <x:v>The firm</x:v>
      </x:c>
      <x:c r="E7" s="13" t="n">
        <x:v>1</x:v>
      </x:c>
      <x:c r="F7" s="13" t="str">
        <x:v>E1</x:v>
      </x:c>
      <x:c r="G7" s="13" t="str">
        <x:v>resolved</x:v>
      </x:c>
      <x:c r="H7" s="13" t="str">
        <x:v>Description resolves to Harbor Legal</x:v>
      </x:c>
      <x:c r="I7" s="13" t="str">
        <x:v>SME_added</x:v>
      </x:c>
    </x:row>
  </x:sheetData>
  <x:dataValidations count="1">
    <x:dataValidation type="list" sqref="G5:G7">
      <x:formula1>"resolved,ambiguous,unknown"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e73ff9909642c3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10" t="str">
        <x:v>Blind gold mentions</x:v>
      </x:c>
    </x:row>
    <x:row r="2">
      <x:c r="A2" s="11" t="str">
        <x:v>Fictional completed example.</x:v>
      </x:c>
    </x:row>
    <x:row r="4" ht="32" customHeight="1">
      <x:c r="A4" s="12" t="str">
        <x:v>mention_id</x:v>
      </x:c>
      <x:c r="B4" s="12" t="str">
        <x:v>claim_number</x:v>
      </x:c>
      <x:c r="C4" s="12" t="str">
        <x:v>note_id</x:v>
      </x:c>
      <x:c r="D4" s="12" t="str">
        <x:v>exact_text</x:v>
      </x:c>
      <x:c r="E4" s="12" t="str">
        <x:v>occurrence</x:v>
      </x:c>
      <x:c r="F4" s="12" t="str">
        <x:v>entity_ref</x:v>
      </x:c>
      <x:c r="G4" s="12" t="str">
        <x:v>entity_type</x:v>
      </x:c>
      <x:c r="H4" s="12" t="str">
        <x:v>decision</x:v>
      </x:c>
      <x:c r="I4" s="12" t="str">
        <x:v>reason</x:v>
      </x:c>
      <x:c r="J4" s="12" t="str">
        <x:v>origin</x:v>
      </x:c>
    </x:row>
    <x:row r="5" ht="32" customHeight="1">
      <x:c r="A5" s="13" t="str">
        <x:v>G1</x:v>
      </x:c>
      <x:c r="B5" s="13" t="str">
        <x:v>C104</x:v>
      </x:c>
      <x:c r="C5" s="13" t="str">
        <x:v>N01</x:v>
      </x:c>
      <x:c r="D5" s="13" t="str">
        <x:v>Maya Chen</x:v>
      </x:c>
      <x:c r="E5" s="13" t="n">
        <x:v>1</x:v>
      </x:c>
      <x:c r="F5" s="13" t="str">
        <x:v>E3</x:v>
      </x:c>
      <x:c r="G5" s="13" t="str">
        <x:v>person</x:v>
      </x:c>
      <x:c r="H5" s="13" t="str">
        <x:v>resolved</x:v>
      </x:c>
      <x:c r="I5" s="13" t="str">
        <x:v>Named caller</x:v>
      </x:c>
      <x:c r="J5" s="13" t="str">
        <x:v>blind_gold</x:v>
      </x:c>
    </x:row>
    <x:row r="6" ht="32" customHeight="1">
      <x:c r="A6" s="13" t="str">
        <x:v>G2</x:v>
      </x:c>
      <x:c r="B6" s="13" t="str">
        <x:v>C104</x:v>
      </x:c>
      <x:c r="C6" s="13" t="str">
        <x:v>N01</x:v>
      </x:c>
      <x:c r="D6" s="13" t="str">
        <x:v>She</x:v>
      </x:c>
      <x:c r="E6" s="13" t="n">
        <x:v>1</x:v>
      </x:c>
      <x:c r="F6" s="13" t="str">
        <x:v>E3</x:v>
      </x:c>
      <x:c r="G6" s="13" t="str">
        <x:v>person</x:v>
      </x:c>
      <x:c r="H6" s="13" t="str">
        <x:v>resolved</x:v>
      </x:c>
      <x:c r="I6" s="13" t="str">
        <x:v>Refers to Maya Chen</x:v>
      </x:c>
      <x:c r="J6" s="13" t="str">
        <x:v>blind_gold</x:v>
      </x:c>
    </x:row>
    <x:row r="7" ht="32" customHeight="1">
      <x:c r="A7" s="13" t="str">
        <x:v>G3</x:v>
      </x:c>
      <x:c r="B7" s="13" t="str">
        <x:v>C104</x:v>
      </x:c>
      <x:c r="C7" s="13" t="str">
        <x:v>N01</x:v>
      </x:c>
      <x:c r="D7" s="13" t="str">
        <x:v>Elena Ruiz</x:v>
      </x:c>
      <x:c r="E7" s="13" t="n">
        <x:v>1</x:v>
      </x:c>
      <x:c r="F7" s="13" t="str">
        <x:v>E2</x:v>
      </x:c>
      <x:c r="G7" s="13" t="str">
        <x:v>person</x:v>
      </x:c>
      <x:c r="H7" s="13" t="str">
        <x:v>resolved</x:v>
      </x:c>
      <x:c r="I7" s="13" t="str">
        <x:v>Named representative</x:v>
      </x:c>
      <x:c r="J7" s="13" t="str">
        <x:v>blind_gold</x:v>
      </x:c>
    </x:row>
    <x:row r="8" ht="32" customHeight="1">
      <x:c r="A8" s="13" t="str">
        <x:v>G4</x:v>
      </x:c>
      <x:c r="B8" s="13" t="str">
        <x:v>C104</x:v>
      </x:c>
      <x:c r="C8" s="13" t="str">
        <x:v>N01</x:v>
      </x:c>
      <x:c r="D8" s="13" t="str">
        <x:v>Harbor Legal</x:v>
      </x:c>
      <x:c r="E8" s="13" t="n">
        <x:v>1</x:v>
      </x:c>
      <x:c r="F8" s="13" t="str">
        <x:v>E1</x:v>
      </x:c>
      <x:c r="G8" s="13" t="str">
        <x:v>organization</x:v>
      </x:c>
      <x:c r="H8" s="13" t="str">
        <x:v>resolved</x:v>
      </x:c>
      <x:c r="I8" s="13" t="str">
        <x:v>Named organization</x:v>
      </x:c>
      <x:c r="J8" s="13" t="str">
        <x:v>blind_gold</x:v>
      </x:c>
    </x:row>
  </x:sheetData>
  <x:dataValidations count="1">
    <x:dataValidation type="list" sqref="H5:H8">
      <x:formula1>"resolved,ambiguous,unknown"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d4ba6036b74b4a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6" hidden="0" customWidth="1"/>
    <x:col min="2" max="2" width="1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2" hidden="0" customWidth="1"/>
    <x:col min="9" max="9" width="14" hidden="0" customWidth="1"/>
    <x:col min="10" max="10" width="14" hidden="0" customWidth="1"/>
  </x:cols>
  <x:sheetData>
    <x:row r="1">
      <x:c r="A1" s="10" t="str">
        <x:v>Blind gold entity fields</x:v>
      </x:c>
    </x:row>
    <x:row r="2">
      <x:c r="A2" s="11" t="str">
        <x:v>Fictional completed example.</x:v>
      </x:c>
    </x:row>
    <x:row r="4" ht="32" customHeight="1">
      <x:c r="A4" s="12" t="str">
        <x:v>gold_field_id</x:v>
      </x:c>
      <x:c r="B4" s="12" t="str">
        <x:v>claim_number</x:v>
      </x:c>
      <x:c r="C4" s="12" t="str">
        <x:v>entity_ref</x:v>
      </x:c>
      <x:c r="D4" s="12" t="str">
        <x:v>field_name</x:v>
      </x:c>
      <x:c r="E4" s="12" t="str">
        <x:v>value</x:v>
      </x:c>
      <x:c r="F4" s="12" t="str">
        <x:v>note_id</x:v>
      </x:c>
      <x:c r="G4" s="12" t="str">
        <x:v>source_text</x:v>
      </x:c>
      <x:c r="H4" s="12" t="str">
        <x:v>source_match_method</x:v>
      </x:c>
      <x:c r="I4" s="12" t="str">
        <x:v>decision</x:v>
      </x:c>
      <x:c r="J4" s="12" t="str">
        <x:v>reason</x:v>
      </x:c>
    </x:row>
    <x:row r="5" ht="32" customHeight="1">
      <x:c r="A5" s="13" t="str">
        <x:v>GF1</x:v>
      </x:c>
      <x:c r="B5" s="13" t="str">
        <x:v>C104</x:v>
      </x:c>
      <x:c r="C5" s="13" t="str">
        <x:v>E1</x:v>
      </x:c>
      <x:c r="D5" s="13" t="str">
        <x:v>entity_address</x:v>
      </x:c>
      <x:c r="E5" s="13" t="str">
        <x:v>10 Bay Street</x:v>
      </x:c>
      <x:c r="F5" s="13" t="str">
        <x:v>N01</x:v>
      </x:c>
      <x:c r="G5" s="13" t="str">
        <x:v>10 Bay Street</x:v>
      </x:c>
      <x:c r="H5" s="13" t="str">
        <x:v>exact</x:v>
      </x:c>
      <x:c r="I5" s="13" t="str">
        <x:v>observed</x:v>
      </x:c>
      <x:c r="J5" s="13" t="str">
        <x:v>Contact record in note.</x:v>
      </x:c>
    </x:row>
    <x:row r="6" ht="32" customHeight="1">
      <x:c r="A6" s="13" t="str">
        <x:v>GF2</x:v>
      </x:c>
      <x:c r="B6" s="13" t="str">
        <x:v>C104</x:v>
      </x:c>
      <x:c r="C6" s="13" t="str">
        <x:v>E1</x:v>
      </x:c>
      <x:c r="D6" s="13" t="str">
        <x:v>entity_TIN</x:v>
      </x:c>
      <x:c r="E6" s="13" t="str">
        <x:v>TRAINING-001</x:v>
      </x:c>
      <x:c r="F6" s="13" t="str">
        <x:v>N02</x:v>
      </x:c>
      <x:c r="G6" s="13" t="str">
        <x:v>TIN TRAINING-001</x:v>
      </x:c>
      <x:c r="H6" s="13" t="str">
        <x:v>exact</x:v>
      </x:c>
      <x:c r="I6" s="13" t="str">
        <x:v>observed</x:v>
      </x:c>
      <x:c r="J6" s="13" t="str">
        <x:v>Sender block in note.</x:v>
      </x:c>
    </x:row>
  </x:sheetData>
  <x:dataValidations count="1">
    <x:dataValidation type="list" sqref="I5:I6">
      <x:formula1>"observed,ambiguous,not_assessable"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33fc4517aeb4e12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7" hidden="0" customWidth="1"/>
    <x:col min="2" max="2" width="16" hidden="0" customWidth="1"/>
    <x:col min="3" max="3" width="15" hidden="0" customWidth="1"/>
    <x:col min="4" max="4" width="19" hidden="0" customWidth="1"/>
    <x:col min="5" max="5" width="20" hidden="0" customWidth="1"/>
    <x:col min="6" max="6" width="17" hidden="0" customWidth="1"/>
    <x:col min="7" max="7" width="14" hidden="0" customWidth="1"/>
    <x:col min="8" max="8" width="16" hidden="0" customWidth="1"/>
  </x:cols>
  <x:sheetData>
    <x:row r="1">
      <x:c r="A1" s="10" t="str">
        <x:v>Phase 1 returned watchlist pair review</x:v>
      </x:c>
    </x:row>
    <x:row r="2">
      <x:c r="A2" s="11" t="str">
        <x:v>Fictional completed example.</x:v>
      </x:c>
    </x:row>
    <x:row r="4" ht="32" customHeight="1">
      <x:c r="A4" s="12" t="str">
        <x:v>pair_review_id</x:v>
      </x:c>
      <x:c r="B4" s="12" t="str">
        <x:v>client_row_id</x:v>
      </x:c>
      <x:c r="C4" s="12" t="str">
        <x:v>claim_number</x:v>
      </x:c>
      <x:c r="D4" s="12" t="str">
        <x:v>similarity_score</x:v>
      </x:c>
      <x:c r="E4" s="12" t="str">
        <x:v>identity_decision</x:v>
      </x:c>
      <x:c r="F4" s="12" t="str">
        <x:v>source_support</x:v>
      </x:c>
      <x:c r="G4" s="12" t="str">
        <x:v>reason</x:v>
      </x:c>
      <x:c r="H4" s="12" t="str">
        <x:v>review_status</x:v>
      </x:c>
    </x:row>
    <x:row r="5" ht="32" customHeight="1">
      <x:c r="A5" s="13" t="str">
        <x:v>P1-1</x:v>
      </x:c>
      <x:c r="B5" s="13" t="str">
        <x:v>CR1</x:v>
      </x:c>
      <x:c r="C5" s="13" t="str">
        <x:v>C104</x:v>
      </x:c>
      <x:c r="D5" s="13" t="n">
        <x:v>100</x:v>
      </x:c>
      <x:c r="E5" s="13" t="str">
        <x:v>same_entity</x:v>
      </x:c>
      <x:c r="F5" s="13" t="str">
        <x:v>supported</x:v>
      </x:c>
      <x:c r="G5" s="13" t="str">
        <x:v>Name, address, phone and TIN agree; note identifies the firm.</x:v>
      </x:c>
      <x:c r="H5" s="13" t="str">
        <x:v>complete</x:v>
      </x:c>
    </x:row>
  </x:sheetData>
  <x:dataValidations count="3">
    <x:dataValidation type="list" sqref="E5">
      <x:formula1>"same_entity,different_entity,insufficient_evidence,needs_context"</x:formula1>
    </x:dataValidation>
    <x:dataValidation type="list" sqref="F5">
      <x:formula1>"supported,ambiguous,unsupported,not_checked"</x:formula1>
    </x:dataValidation>
    <x:dataValidation type="list" sqref="H5">
      <x:formula1>"complete,incomplete"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2542da6b624e9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0" hidden="0" customWidth="1"/>
  </x:cols>
  <x:sheetData>
    <x:row r="1">
      <x:c r="A1" s="10" t="str">
        <x:v>Phase 1: returned high-score watchlist audit</x:v>
      </x:c>
    </x:row>
    <x:row r="3" ht="32" customHeight="1">
      <x:c r="A3" s="5" t="str">
        <x:v>Metric</x:v>
      </x:c>
      <x:c r="B3" s="5" t="str">
        <x:v>Value</x:v>
      </x:c>
    </x:row>
    <x:row r="4" ht="32" customHeight="1">
      <x:c r="A4" s="17" t="str">
        <x:v>Completed reviews</x:v>
      </x:c>
      <x:c r="B4" s="17" t="n">
        <x:f>COUNTIF('09_Phase1_pair_review'!H5:H10000,"complete")</x:f>
        <x:v>1</x:v>
      </x:c>
    </x:row>
    <x:row r="5" ht="32" customHeight="1">
      <x:c r="A5" s="17" t="str">
        <x:v>Determinate decisions</x:v>
      </x:c>
      <x:c r="B5" s="17" t="n">
        <x:f>COUNTIF('09_Phase1_pair_review'!E5:E10000,"same_entity")+COUNTIF('09_Phase1_pair_review'!E5:E10000,"different_entity")</x:f>
        <x:v>1</x:v>
      </x:c>
    </x:row>
    <x:row r="6" ht="32" customHeight="1">
      <x:c r="A6" s="17" t="str">
        <x:v>Confirmed same entity</x:v>
      </x:c>
      <x:c r="B6" s="17" t="n">
        <x:f>COUNTIF('09_Phase1_pair_review'!E5:E10000,"same_entity")</x:f>
        <x:v>1</x:v>
      </x:c>
    </x:row>
    <x:row r="7" ht="32" customHeight="1">
      <x:c r="A7" s="17" t="str">
        <x:v>Confirmed different entity</x:v>
      </x:c>
      <x:c r="B7" s="17" t="n">
        <x:f>COUNTIF('09_Phase1_pair_review'!E5:E10000,"different_entity")</x:f>
        <x:v>0</x:v>
      </x:c>
    </x:row>
    <x:row r="8" ht="32" customHeight="1">
      <x:c r="A8" s="17" t="str">
        <x:v>Returned-match precision</x:v>
      </x:c>
      <x:c r="B8" s="18" t="n">
        <x:f>IF(B5=0,"n.a.",B6/B5)</x:f>
        <x:v>1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6" hidden="0" customWidth="1"/>
    <x:col min="4" max="4" width="19" hidden="0" customWidth="1"/>
    <x:col min="5" max="5" width="19" hidden="0" customWidth="1"/>
    <x:col min="6" max="6" width="22" hidden="0" customWidth="1"/>
    <x:col min="7" max="7" width="24" hidden="0" customWidth="1"/>
    <x:col min="8" max="8" width="14" hidden="0" customWidth="1"/>
    <x:col min="9" max="9" width="19" hidden="0" customWidth="1"/>
  </x:cols>
  <x:sheetData>
    <x:row r="1">
      <x:c r="A1" s="10" t="str">
        <x:v>Phase 2 wider candidate input</x:v>
      </x:c>
    </x:row>
    <x:row r="2">
      <x:c r="A2" s="11" t="str">
        <x:v>Fictional completed example.</x:v>
      </x:c>
    </x:row>
    <x:row r="4" ht="32" customHeight="1">
      <x:c r="A4" s="12" t="str">
        <x:v>candidate_id</x:v>
      </x:c>
      <x:c r="B4" s="12" t="str">
        <x:v>claim_number</x:v>
      </x:c>
      <x:c r="C4" s="12" t="str">
        <x:v>client_row_id</x:v>
      </x:c>
      <x:c r="D4" s="12" t="str">
        <x:v>candidate_status</x:v>
      </x:c>
      <x:c r="E4" s="12" t="str">
        <x:v>similarity_score</x:v>
      </x:c>
      <x:c r="F4" s="12" t="str">
        <x:v>watchlist_entity_id</x:v>
      </x:c>
      <x:c r="G4" s="12" t="str">
        <x:v>watchlist_entity_name</x:v>
      </x:c>
      <x:c r="H4" s="12" t="str">
        <x:v>note_id</x:v>
      </x:c>
      <x:c r="I4" s="12" t="str">
        <x:v>source_note_text</x:v>
      </x:c>
    </x:row>
    <x:row r="5" ht="32" customHeight="1">
      <x:c r="A5" s="13" t="str">
        <x:v>P2-1</x:v>
      </x:c>
      <x:c r="B5" s="13" t="str">
        <x:v>C104</x:v>
      </x:c>
      <x:c r="C5" s="13" t="str">
        <x:v>CR1</x:v>
      </x:c>
      <x:c r="D5" s="13" t="str">
        <x:v>returned_above_threshold</x:v>
      </x:c>
      <x:c r="E5" s="13" t="n">
        <x:v>100</x:v>
      </x:c>
      <x:c r="F5" s="13" t="str">
        <x:v>WL-01</x:v>
      </x:c>
      <x:c r="G5" s="13" t="str">
        <x:v>Harbor Legal</x:v>
      </x:c>
      <x:c r="H5" s="13" t="str">
        <x:v>N02</x:v>
      </x:c>
      <x:c r="I5" s="13" t="str">
        <x:v>Harbor Legal emailed Maya Chen.</x:v>
      </x:c>
    </x:row>
  </x:sheetData>
  <x:pageMargins left="0.7" right="0.7" top="0.75" bottom="0.75" header="0.3" footer="0.3"/>
  <x:tableParts count="1">
    <x:tablePart xmlns:r="http://schemas.openxmlformats.org/officeDocument/2006/relationships" r:id="Refea53c4cf694a1c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7" hidden="0" customWidth="1"/>
    <x:col min="2" max="2" width="15" hidden="0" customWidth="1"/>
    <x:col min="3" max="3" width="15" hidden="0" customWidth="1"/>
    <x:col min="4" max="4" width="19" hidden="0" customWidth="1"/>
    <x:col min="5" max="5" width="19" hidden="0" customWidth="1"/>
    <x:col min="6" max="6" width="20" hidden="0" customWidth="1"/>
    <x:col min="7" max="7" width="17" hidden="0" customWidth="1"/>
    <x:col min="8" max="8" width="14" hidden="0" customWidth="1"/>
    <x:col min="9" max="9" width="16" hidden="0" customWidth="1"/>
  </x:cols>
  <x:sheetData>
    <x:row r="1">
      <x:c r="A1" s="10" t="str">
        <x:v>Phase 2 wider candidate review</x:v>
      </x:c>
    </x:row>
    <x:row r="2">
      <x:c r="A2" s="11" t="str">
        <x:v>Fictional completed example.</x:v>
      </x:c>
    </x:row>
    <x:row r="4" ht="32" customHeight="1">
      <x:c r="A4" s="12" t="str">
        <x:v>pair_review_id</x:v>
      </x:c>
      <x:c r="B4" s="12" t="str">
        <x:v>candidate_id</x:v>
      </x:c>
      <x:c r="C4" s="12" t="str">
        <x:v>claim_number</x:v>
      </x:c>
      <x:c r="D4" s="12" t="str">
        <x:v>candidate_status</x:v>
      </x:c>
      <x:c r="E4" s="12" t="str">
        <x:v>similarity_score</x:v>
      </x:c>
      <x:c r="F4" s="12" t="str">
        <x:v>identity_decision</x:v>
      </x:c>
      <x:c r="G4" s="12" t="str">
        <x:v>source_support</x:v>
      </x:c>
      <x:c r="H4" s="12" t="str">
        <x:v>reason</x:v>
      </x:c>
      <x:c r="I4" s="12" t="str">
        <x:v>review_status</x:v>
      </x:c>
    </x:row>
    <x:row r="5" ht="32" customHeight="1">
      <x:c r="A5" s="13" t="str">
        <x:v>P2R-1</x:v>
      </x:c>
      <x:c r="B5" s="13" t="str">
        <x:v>P2-1</x:v>
      </x:c>
      <x:c r="C5" s="13" t="str">
        <x:v>C104</x:v>
      </x:c>
      <x:c r="D5" s="13" t="str">
        <x:v>returned_above_threshold</x:v>
      </x:c>
      <x:c r="E5" s="13" t="n">
        <x:v>100</x:v>
      </x:c>
      <x:c r="F5" s="13" t="str">
        <x:v>same_entity</x:v>
      </x:c>
      <x:c r="G5" s="13" t="str">
        <x:v>supported</x:v>
      </x:c>
      <x:c r="H5" s="13" t="str">
        <x:v>Same as Phase 1 example.</x:v>
      </x:c>
      <x:c r="I5" s="13" t="str">
        <x:v>complete</x:v>
      </x:c>
    </x:row>
  </x:sheetData>
  <x:dataValidations count="3">
    <x:dataValidation type="list" sqref="F5">
      <x:formula1>"same_entity,different_entity,insufficient_evidence,needs_context"</x:formula1>
    </x:dataValidation>
    <x:dataValidation type="list" sqref="G5">
      <x:formula1>"supported,ambiguous,unsupported,not_checked"</x:formula1>
    </x:dataValidation>
    <x:dataValidation type="list" sqref="I5">
      <x:formula1>"complete,incomplete"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7d055dae9994fe8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0" hidden="0" customWidth="1"/>
  </x:cols>
  <x:sheetData>
    <x:row r="1">
      <x:c r="A1" s="10" t="str">
        <x:v>Phase 2: wider candidate review</x:v>
      </x:c>
    </x:row>
    <x:row r="3" ht="32" customHeight="1">
      <x:c r="A3" s="5" t="str">
        <x:v>Metric</x:v>
      </x:c>
      <x:c r="B3" s="5" t="str">
        <x:v>Value</x:v>
      </x:c>
    </x:row>
    <x:row r="4" ht="32" customHeight="1">
      <x:c r="A4" s="17" t="str">
        <x:v>Completed reviews</x:v>
      </x:c>
      <x:c r="B4" s="17" t="n">
        <x:f>COUNTIF('12_Phase2_pair_review'!I5:I10000,"complete")</x:f>
        <x:v>1</x:v>
      </x:c>
    </x:row>
    <x:row r="5" ht="32" customHeight="1">
      <x:c r="A5" s="17" t="str">
        <x:v>Determinate decisions</x:v>
      </x:c>
      <x:c r="B5" s="17" t="n">
        <x:f>COUNTIF('12_Phase2_pair_review'!F5:F10000,"same_entity")+COUNTIF('12_Phase2_pair_review'!F5:F10000,"different_entity")</x:f>
        <x:v>1</x:v>
      </x:c>
    </x:row>
    <x:row r="6" ht="32" customHeight="1">
      <x:c r="A6" s="17" t="str">
        <x:v>Confirmed same entity</x:v>
      </x:c>
      <x:c r="B6" s="17" t="n">
        <x:f>COUNTIF('12_Phase2_pair_review'!F5:F10000,"same_entity")</x:f>
        <x:v>1</x:v>
      </x:c>
    </x:row>
    <x:row r="7" ht="32" customHeight="1">
      <x:c r="A7" s="17" t="str">
        <x:v>Candidate precision</x:v>
      </x:c>
      <x:c r="B7" s="18" t="n">
        <x:f>IF(B5=0,"n.a.",B6/B5)</x:f>
        <x:v>1</x:v>
      </x:c>
    </x:row>
  </x:sheetData>
  <x:pageMargins left="0.7" right="0.7" top="0.75" bottom="0.75" header="0.3" footer="0.3"/>
</x:worksheet>
</file>