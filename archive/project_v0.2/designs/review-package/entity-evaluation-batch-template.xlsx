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395b5e935248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Watchlist_summary" sheetId="1" r:id="Rd47bcc3a3ffe4386"/>
    <x:sheet xmlns:r="http://schemas.openxmlformats.org/officeDocument/2006/relationships" name="01_Note_inventory" sheetId="2" r:id="R056edcc71c884989"/>
    <x:sheet xmlns:r="http://schemas.openxmlformats.org/officeDocument/2006/relationships" name="02_Gold_mentions" sheetId="3" r:id="Rb2ed06d958e14c4b"/>
    <x:sheet xmlns:r="http://schemas.openxmlformats.org/officeDocument/2006/relationships" name="03_Gold_entities" sheetId="4" r:id="R3ebf3109405f407f"/>
    <x:sheet xmlns:r="http://schemas.openxmlformats.org/officeDocument/2006/relationships" name="04_Client_entity_output" sheetId="5" r:id="Rc1421390ab8d4dfd"/>
    <x:sheet xmlns:r="http://schemas.openxmlformats.org/officeDocument/2006/relationships" name="05_Silver_entity_review" sheetId="6" r:id="Rfc219c5968cd4b6a"/>
    <x:sheet xmlns:r="http://schemas.openxmlformats.org/officeDocument/2006/relationships" name="06_Watchlist_pair_input" sheetId="7" r:id="R3bd06501d9c94024"/>
    <x:sheet xmlns:r="http://schemas.openxmlformats.org/officeDocument/2006/relationships" name="07_Watchlist_field_review" sheetId="8" r:id="Rcc9d4ec5036f4d24"/>
    <x:sheet xmlns:r="http://schemas.openxmlformats.org/officeDocument/2006/relationships" name="08_Watchlist_pair_review" sheetId="9" r:id="R54d5a7a80b744b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@"/>
  </x:numFmts>
  <x:fonts count="5">
    <x:font>
      <x:sz val="11"/>
      <x:name val="Carlito"/>
    </x:font>
    <x:font>
      <x:b/>
      <x:sz val="15"/>
      <x:color rgb="FF172B42"/>
      <x:name val="Arial"/>
    </x:font>
    <x:font>
      <x:b/>
      <x:sz val="10"/>
      <x:color rgb="FFFFFFFF"/>
      <x:name val="Arial"/>
    </x:font>
    <x:font>
      <x:sz val="10"/>
      <x:color rgb="FF172B42"/>
      <x:name val="Arial"/>
    </x:font>
    <x:font>
      <x:i/>
      <x:sz val="10"/>
      <x:color rgb="FF52617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43E59"/>
      </x:patternFill>
    </x:fill>
    <x:fill>
      <x:patternFill patternType="solid">
        <x:fgColor rgb="FFFFFFFF"/>
      </x:patternFill>
    </x:fill>
    <x:fill>
      <x:patternFill patternType="solid">
        <x:fgColor rgb="FFDEF5ED"/>
      </x:patternFill>
    </x:fill>
    <x:fill>
      <x:patternFill patternType="solid">
        <x:fgColor rgb="FFFFF1CC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200" fontId="3" fillId="4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201" fontId="2" fillId="2" borderId="0" xfId="0" applyNumberFormat="1" applyFont="1" applyFill="1" applyBorder="1" applyAlignment="1">
      <x:alignment wrapText="1"/>
    </x:xf>
    <x:xf numFmtId="201" fontId="3" fillId="3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top" wrapText="1"/>
    </x:xf>
    <x:xf numFmtId="201" fontId="3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9e7b8cef584f72" /><Relationship Type="http://schemas.openxmlformats.org/officeDocument/2006/relationships/theme" Target="/xl/theme/theme1.xml" Id="Rb1e73e9686ae44c5" /><Relationship Type="http://schemas.openxmlformats.org/officeDocument/2006/relationships/sharedStrings" Target="/xl/sharedStrings.xml" Id="Rd78567434d784ed4" /><Relationship Type="http://schemas.openxmlformats.org/officeDocument/2006/relationships/worksheet" Target="/xl/worksheets/sheet1.xml" Id="Rd47bcc3a3ffe4386" /><Relationship Type="http://schemas.openxmlformats.org/officeDocument/2006/relationships/worksheet" Target="/xl/worksheets/sheet2.xml" Id="R056edcc71c884989" /><Relationship Type="http://schemas.openxmlformats.org/officeDocument/2006/relationships/worksheet" Target="/xl/worksheets/sheet3.xml" Id="Rb2ed06d958e14c4b" /><Relationship Type="http://schemas.openxmlformats.org/officeDocument/2006/relationships/worksheet" Target="/xl/worksheets/sheet4.xml" Id="R3ebf3109405f407f" /><Relationship Type="http://schemas.openxmlformats.org/officeDocument/2006/relationships/worksheet" Target="/xl/worksheets/sheet5.xml" Id="Rc1421390ab8d4dfd" /><Relationship Type="http://schemas.openxmlformats.org/officeDocument/2006/relationships/worksheet" Target="/xl/worksheets/sheet6.xml" Id="Rfc219c5968cd4b6a" /><Relationship Type="http://schemas.openxmlformats.org/officeDocument/2006/relationships/worksheet" Target="/xl/worksheets/sheet7.xml" Id="R3bd06501d9c94024" /><Relationship Type="http://schemas.openxmlformats.org/officeDocument/2006/relationships/worksheet" Target="/xl/worksheets/sheet8.xml" Id="Rcc9d4ec5036f4d24" /><Relationship Type="http://schemas.openxmlformats.org/officeDocument/2006/relationships/worksheet" Target="/xl/worksheets/sheet9.xml" Id="R54d5a7a80b744ba5" /></Relationships>
</file>

<file path=xl/tables/table1.xml><?xml version="1.0" encoding="utf-8"?>
<x:table xmlns:x="http://schemas.openxmlformats.org/spreadsheetml/2006/main" id="1" name="TNoteinventory" displayName="TNoteinventory" ref="A4:F24" headerRowCount="1" totalsRowCount="0" totalsRowShown="0">
  <x:tableColumns count="6">
    <x:tableColumn id="1" name="claim_number"/>
    <x:tableColumn id="2" name="note_id"/>
    <x:tableColumn id="3" name="note_order"/>
    <x:tableColumn id="4" name="source_version"/>
    <x:tableColumn id="5" name="note_filename"/>
    <x:tableColumn id="6" name="gold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Goldmentions" displayName="TGoldmentions" ref="A4:J24" headerRowCount="1" totalsRowCount="0" totalsRowShown="0">
  <x:tableColumns count="10">
    <x:tableColumn id="1" name="mention_id"/>
    <x:tableColumn id="2" name="claim_number"/>
    <x:tableColumn id="3" name="note_id"/>
    <x:tableColumn id="4" name="exact_text"/>
    <x:tableColumn id="5" name="occurrence"/>
    <x:tableColumn id="6" name="entity_ref"/>
    <x:tableColumn id="7" name="mention_form"/>
    <x:tableColumn id="8" name="resolution"/>
    <x:tableColumn id="9" name="reason"/>
    <x:tableColumn id="10" name="review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Goldentities" displayName="TGoldentities" ref="A4:E24" headerRowCount="1" totalsRowCount="0" totalsRowShown="0">
  <x:tableColumns count="5">
    <x:tableColumn id="1" name="entity_ref"/>
    <x:tableColumn id="2" name="claim_number"/>
    <x:tableColumn id="3" name="display_name"/>
    <x:tableColumn id="4" name="entity_type"/>
    <x:tableColumn id="5" name="supporting_mention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Cliententityoutput" displayName="TCliententityoutput" ref="A4:E24" headerRowCount="1" totalsRowCount="0" totalsRowShown="0">
  <x:tableColumns count="5">
    <x:tableColumn id="1" name="record_id"/>
    <x:tableColumn id="2" name="claim_number"/>
    <x:tableColumn id="3" name="note_id"/>
    <x:tableColumn id="4" name="entity_record"/>
    <x:tableColumn id="5" name="Identification_typ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Silverentityreview" displayName="TSilverentityreview" ref="A4:I24" headerRowCount="1" totalsRowCount="0" totalsRowShown="0">
  <x:tableColumns count="9">
    <x:tableColumn id="1" name="record_id"/>
    <x:tableColumn id="2" name="claim_number"/>
    <x:tableColumn id="3" name="note_id"/>
    <x:tableColumn id="4" name="review_result"/>
    <x:tableColumn id="5" name="entity_ref"/>
    <x:tableColumn id="6" name="evidence_ids"/>
    <x:tableColumn id="7" name="evidence_relation"/>
    <x:tableColumn id="8" name="review_reason"/>
    <x:tableColumn id="9" name="reviewer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Watchlistpairinput" displayName="TWatchlistpairinput" ref="A4:T24" headerRowCount="1" totalsRowCount="0" totalsRowShown="0">
  <x:tableColumns count="20">
    <x:tableColumn id="1" name="pair_id"/>
    <x:tableColumn id="2" name="claim_number"/>
    <x:tableColumn id="3" name="watchlist entity name"/>
    <x:tableColumn id="4" name="watchlist category"/>
    <x:tableColumn id="5" name="watchlist address"/>
    <x:tableColumn id="6" name="watchlist city"/>
    <x:tableColumn id="7" name="watchlist state"/>
    <x:tableColumn id="8" name="watchlist zip"/>
    <x:tableColumn id="9" name="watchlist phone number"/>
    <x:tableColumn id="10" name="watchlist TIN"/>
    <x:tableColumn id="11" name="system identified entity name"/>
    <x:tableColumn id="12" name="system category"/>
    <x:tableColumn id="13" name="system address"/>
    <x:tableColumn id="14" name="system city"/>
    <x:tableColumn id="15" name="system state"/>
    <x:tableColumn id="16" name="system zip"/>
    <x:tableColumn id="17" name="system phone number"/>
    <x:tableColumn id="18" name="system TIN"/>
    <x:tableColumn id="19" name="Similarity Score"/>
    <x:tableColumn id="20" name="review_scop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Watchlistfieldreview" displayName="TWatchlistfieldreview" ref="A4:H24" headerRowCount="1" totalsRowCount="0" totalsRowShown="0">
  <x:tableColumns count="8">
    <x:tableColumn id="1" name="pair_id"/>
    <x:tableColumn id="2" name="claim_number"/>
    <x:tableColumn id="3" name="field"/>
    <x:tableColumn id="4" name="watchlist value"/>
    <x:tableColumn id="5" name="system value"/>
    <x:tableColumn id="6" name="comparison"/>
    <x:tableColumn id="7" name="review_note"/>
    <x:tableColumn id="8" name="reviewer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Watchlistpairreview" displayName="TWatchlistpairreview" ref="A4:I24" headerRowCount="1" totalsRowCount="0" totalsRowShown="0">
  <x:tableColumns count="9">
    <x:tableColumn id="1" name="pair_id"/>
    <x:tableColumn id="2" name="claim_number"/>
    <x:tableColumn id="3" name="review_scope"/>
    <x:tableColumn id="4" name="identity_decision"/>
    <x:tableColumn id="5" name="source_verification"/>
    <x:tableColumn id="6" name="Similarity Score"/>
    <x:tableColumn id="7" name="review_reason"/>
    <x:tableColumn id="8" name="reviewer"/>
    <x:tableColumn id="9" name="review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632d730242748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105254b590840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4890820874d44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727b83d67f8445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40fd3f80c90481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34967bd6a1a476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5acd0a043da46c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00bbbc2ae2142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</x:cols>
  <x:sheetData>
    <x:row r="1">
      <x:c r="A1" s="1" t="str">
        <x:v>Watchlist fuzzy-match review summary</x:v>
      </x:c>
    </x:row>
    <x:row r="3" ht="34" customHeight="1">
      <x:c r="A3" s="4" t="str">
        <x:v>Metric</x:v>
      </x:c>
      <x:c r="B3" s="4" t="str">
        <x:v>Value</x:v>
      </x:c>
    </x:row>
    <x:row r="4" ht="34" customHeight="1">
      <x:c r="A4" s="8" t="str">
        <x:v>Included pair rows</x:v>
      </x:c>
      <x:c r="B4" s="12" t="n">
        <x:f>COUNTIFS('08_Watchlist_pair_review'!$C$5:$C$24,"included")</x:f>
        <x:v>0</x:v>
      </x:c>
    </x:row>
    <x:row r="5" ht="34" customHeight="1">
      <x:c r="A5" s="8" t="str">
        <x:v>Completed pair reviews</x:v>
      </x:c>
      <x:c r="B5" s="12" t="n">
        <x:f>COUNTIFS('08_Watchlist_pair_review'!$C$5:$C$24,"included",'08_Watchlist_pair_review'!$I$5:$I$24,"complete")</x:f>
        <x:v>0</x:v>
      </x:c>
    </x:row>
    <x:row r="6" ht="34" customHeight="1">
      <x:c r="A6" s="8" t="str">
        <x:v>Determinate identity decisions</x:v>
      </x:c>
      <x:c r="B6" s="12" t="n">
        <x:f>COUNTIFS('08_Watchlist_pair_review'!$C$5:$C$24,"included",'08_Watchlist_pair_review'!$D$5:$D$24,"same_entity")+COUNTIFS('08_Watchlist_pair_review'!$C$5:$C$24,"included",'08_Watchlist_pair_review'!$D$5:$D$24,"different_entity")</x:f>
        <x:v>0</x:v>
      </x:c>
    </x:row>
    <x:row r="7" ht="34" customHeight="1">
      <x:c r="A7" s="8" t="str">
        <x:v>Confirmed same entity</x:v>
      </x:c>
      <x:c r="B7" s="12" t="n">
        <x:f>COUNTIFS('08_Watchlist_pair_review'!$C$5:$C$24,"included",'08_Watchlist_pair_review'!$D$5:$D$24,"same_entity")</x:f>
        <x:v>0</x:v>
      </x:c>
    </x:row>
    <x:row r="8" ht="34" customHeight="1">
      <x:c r="A8" s="8" t="str">
        <x:v>Confirmed different entity</x:v>
      </x:c>
      <x:c r="B8" s="12" t="n">
        <x:f>COUNTIFS('08_Watchlist_pair_review'!$C$5:$C$24,"included",'08_Watchlist_pair_review'!$D$5:$D$24,"different_entity")</x:f>
        <x:v>0</x:v>
      </x:c>
    </x:row>
    <x:row r="9" ht="34" customHeight="1">
      <x:c r="A9" s="8" t="str">
        <x:v>Indeterminate / needs context</x:v>
      </x:c>
      <x:c r="B9" s="12" t="n">
        <x:f>COUNTIFS('08_Watchlist_pair_review'!$C$5:$C$24,"included",'08_Watchlist_pair_review'!$D$5:$D$24,"insufficient_evidence")+COUNTIFS('08_Watchlist_pair_review'!$C$5:$C$24,"included",'08_Watchlist_pair_review'!$D$5:$D$24,"needs_context")</x:f>
        <x:v>0</x:v>
      </x:c>
    </x:row>
    <x:row r="10" ht="34" customHeight="1">
      <x:c r="A10" s="8" t="str">
        <x:v>Fuzzy-match precision among determinate included reviews</x:v>
      </x:c>
      <x:c r="B10" s="13" t="str">
        <x:f>IF(B6=0,"n.a.",B7/B6)</x:f>
        <x:v>n.a.</x:v>
      </x:c>
    </x:row>
    <x:row r="12">
      <x:c r="A12" s="14" t="str">
        <x:v>This is accepted-match precision only. It excludes incomplete and indeterminate reviews. It does not measure missed entities or missed alerts.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6" hidden="0" customWidth="1"/>
    <x:col min="2" max="2" width="14" hidden="0" customWidth="1"/>
    <x:col min="3" max="3" width="12" hidden="0" customWidth="1"/>
    <x:col min="4" max="4" width="18" hidden="0" customWidth="1"/>
    <x:col min="5" max="5" width="28" hidden="0" customWidth="1"/>
    <x:col min="6" max="6" width="18" hidden="0" customWidth="1"/>
  </x:cols>
  <x:sheetData>
    <x:row r="1">
      <x:c r="A1" s="1" t="str">
        <x:v>Source note inventory</x:v>
      </x:c>
    </x:row>
    <x:row r="2">
      <x:c r="A2" s="14" t="str">
        <x:v>Coordinator fills white source sheets. SME fills amber review sheets. Filter by claim_number and note_id.</x:v>
      </x:c>
    </x:row>
    <x:row r="4" ht="34" customHeight="1">
      <x:c r="A4" s="15" t="str">
        <x:v>claim_number</x:v>
      </x:c>
      <x:c r="B4" s="15" t="str">
        <x:v>note_id</x:v>
      </x:c>
      <x:c r="C4" s="15" t="str">
        <x:v>note_order</x:v>
      </x:c>
      <x:c r="D4" s="15" t="str">
        <x:v>source_version</x:v>
      </x:c>
      <x:c r="E4" s="15" t="str">
        <x:v>note_filename</x:v>
      </x:c>
      <x:c r="F4" s="15" t="str">
        <x:v>gold_status</x:v>
      </x:c>
    </x:row>
    <x:row r="5" ht="34" customHeight="1">
      <x:c r="A5" s="16"/>
      <x:c r="B5" s="16"/>
      <x:c r="C5" s="16"/>
      <x:c r="D5" s="16"/>
      <x:c r="E5" s="16"/>
      <x:c r="F5" s="16"/>
    </x:row>
    <x:row r="6" ht="34" customHeight="1">
      <x:c r="A6" s="16"/>
      <x:c r="B6" s="16"/>
      <x:c r="C6" s="16"/>
      <x:c r="D6" s="16"/>
      <x:c r="E6" s="16"/>
      <x:c r="F6" s="16"/>
    </x:row>
    <x:row r="7" ht="34" customHeight="1">
      <x:c r="A7" s="16"/>
      <x:c r="B7" s="16"/>
      <x:c r="C7" s="16"/>
      <x:c r="D7" s="16"/>
      <x:c r="E7" s="16"/>
      <x:c r="F7" s="16"/>
    </x:row>
    <x:row r="8" ht="34" customHeight="1">
      <x:c r="A8" s="16"/>
      <x:c r="B8" s="16"/>
      <x:c r="C8" s="16"/>
      <x:c r="D8" s="16"/>
      <x:c r="E8" s="16"/>
      <x:c r="F8" s="16"/>
    </x:row>
    <x:row r="9" ht="34" customHeight="1">
      <x:c r="A9" s="16"/>
      <x:c r="B9" s="16"/>
      <x:c r="C9" s="16"/>
      <x:c r="D9" s="16"/>
      <x:c r="E9" s="16"/>
      <x:c r="F9" s="16"/>
    </x:row>
    <x:row r="10" ht="34" customHeight="1">
      <x:c r="A10" s="16"/>
      <x:c r="B10" s="16"/>
      <x:c r="C10" s="16"/>
      <x:c r="D10" s="16"/>
      <x:c r="E10" s="16"/>
      <x:c r="F10" s="16"/>
    </x:row>
    <x:row r="11" ht="34" customHeight="1">
      <x:c r="A11" s="16"/>
      <x:c r="B11" s="16"/>
      <x:c r="C11" s="16"/>
      <x:c r="D11" s="16"/>
      <x:c r="E11" s="16"/>
      <x:c r="F11" s="16"/>
    </x:row>
    <x:row r="12" ht="34" customHeight="1">
      <x:c r="A12" s="16"/>
      <x:c r="B12" s="16"/>
      <x:c r="C12" s="16"/>
      <x:c r="D12" s="16"/>
      <x:c r="E12" s="16"/>
      <x:c r="F12" s="16"/>
    </x:row>
    <x:row r="13" ht="34" customHeight="1">
      <x:c r="A13" s="16"/>
      <x:c r="B13" s="16"/>
      <x:c r="C13" s="16"/>
      <x:c r="D13" s="16"/>
      <x:c r="E13" s="16"/>
      <x:c r="F13" s="16"/>
    </x:row>
    <x:row r="14" ht="34" customHeight="1">
      <x:c r="A14" s="16"/>
      <x:c r="B14" s="16"/>
      <x:c r="C14" s="16"/>
      <x:c r="D14" s="16"/>
      <x:c r="E14" s="16"/>
      <x:c r="F14" s="16"/>
    </x:row>
    <x:row r="15" ht="34" customHeight="1">
      <x:c r="A15" s="16"/>
      <x:c r="B15" s="16"/>
      <x:c r="C15" s="16"/>
      <x:c r="D15" s="16"/>
      <x:c r="E15" s="16"/>
      <x:c r="F15" s="16"/>
    </x:row>
    <x:row r="16" ht="34" customHeight="1">
      <x:c r="A16" s="16"/>
      <x:c r="B16" s="16"/>
      <x:c r="C16" s="16"/>
      <x:c r="D16" s="16"/>
      <x:c r="E16" s="16"/>
      <x:c r="F16" s="16"/>
    </x:row>
    <x:row r="17" ht="34" customHeight="1">
      <x:c r="A17" s="16"/>
      <x:c r="B17" s="16"/>
      <x:c r="C17" s="16"/>
      <x:c r="D17" s="16"/>
      <x:c r="E17" s="16"/>
      <x:c r="F17" s="16"/>
    </x:row>
    <x:row r="18" ht="34" customHeight="1">
      <x:c r="A18" s="16"/>
      <x:c r="B18" s="16"/>
      <x:c r="C18" s="16"/>
      <x:c r="D18" s="16"/>
      <x:c r="E18" s="16"/>
      <x:c r="F18" s="16"/>
    </x:row>
    <x:row r="19" ht="34" customHeight="1">
      <x:c r="A19" s="16"/>
      <x:c r="B19" s="16"/>
      <x:c r="C19" s="16"/>
      <x:c r="D19" s="16"/>
      <x:c r="E19" s="16"/>
      <x:c r="F19" s="16"/>
    </x:row>
    <x:row r="20" ht="34" customHeight="1">
      <x:c r="A20" s="16"/>
      <x:c r="B20" s="16"/>
      <x:c r="C20" s="16"/>
      <x:c r="D20" s="16"/>
      <x:c r="E20" s="16"/>
      <x:c r="F20" s="16"/>
    </x:row>
    <x:row r="21" ht="34" customHeight="1">
      <x:c r="A21" s="16"/>
      <x:c r="B21" s="16"/>
      <x:c r="C21" s="16"/>
      <x:c r="D21" s="16"/>
      <x:c r="E21" s="16"/>
      <x:c r="F21" s="16"/>
    </x:row>
    <x:row r="22" ht="34" customHeight="1">
      <x:c r="A22" s="16"/>
      <x:c r="B22" s="16"/>
      <x:c r="C22" s="16"/>
      <x:c r="D22" s="16"/>
      <x:c r="E22" s="16"/>
      <x:c r="F22" s="16"/>
    </x:row>
    <x:row r="23" ht="34" customHeight="1">
      <x:c r="A23" s="16"/>
      <x:c r="B23" s="16"/>
      <x:c r="C23" s="16"/>
      <x:c r="D23" s="16"/>
      <x:c r="E23" s="16"/>
      <x:c r="F23" s="16"/>
    </x:row>
    <x:row r="24" ht="34" customHeight="1">
      <x:c r="A24" s="16"/>
      <x:c r="B24" s="16"/>
      <x:c r="C24" s="16"/>
      <x:c r="D24" s="16"/>
      <x:c r="E24" s="16"/>
      <x:c r="F24" s="16"/>
    </x:row>
  </x:sheetData>
  <x:dataValidations count="1">
    <x:dataValidation type="list" sqref="F5:F24">
      <x:formula1>"not_started,in_progress,sealed,needs_context"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32d730242748d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4" hidden="0" customWidth="1"/>
    <x:col min="4" max="4" width="28" hidden="0" customWidth="1"/>
    <x:col min="5" max="5" width="12" hidden="0" customWidth="1"/>
    <x:col min="6" max="6" width="14" hidden="0" customWidth="1"/>
    <x:col min="7" max="7" width="16" hidden="0" customWidth="1"/>
    <x:col min="8" max="8" width="16" hidden="0" customWidth="1"/>
    <x:col min="9" max="9" width="55" hidden="0" customWidth="1"/>
    <x:col min="10" max="10" width="16" hidden="0" customWidth="1"/>
  </x:cols>
  <x:sheetData>
    <x:row r="1">
      <x:c r="A1" s="1" t="str">
        <x:v>Blind gold mentions</x:v>
      </x:c>
    </x:row>
    <x:row r="2">
      <x:c r="A2" s="14" t="str">
        <x:v>Coordinator fills white source sheets. SME fills amber review sheets. Filter by claim_number and note_id.</x:v>
      </x:c>
    </x:row>
    <x:row r="4" ht="34" customHeight="1">
      <x:c r="A4" s="15" t="str">
        <x:v>mention_id</x:v>
      </x:c>
      <x:c r="B4" s="15" t="str">
        <x:v>claim_number</x:v>
      </x:c>
      <x:c r="C4" s="15" t="str">
        <x:v>note_id</x:v>
      </x:c>
      <x:c r="D4" s="15" t="str">
        <x:v>exact_text</x:v>
      </x:c>
      <x:c r="E4" s="15" t="str">
        <x:v>occurrence</x:v>
      </x:c>
      <x:c r="F4" s="15" t="str">
        <x:v>entity_ref</x:v>
      </x:c>
      <x:c r="G4" s="15" t="str">
        <x:v>mention_form</x:v>
      </x:c>
      <x:c r="H4" s="15" t="str">
        <x:v>resolution</x:v>
      </x:c>
      <x:c r="I4" s="15" t="str">
        <x:v>reason</x:v>
      </x:c>
      <x:c r="J4" s="15" t="str">
        <x:v>reviewer</x:v>
      </x:c>
    </x:row>
    <x:row r="5" ht="34" customHeight="1">
      <x:c r="A5" s="16"/>
      <x:c r="B5" s="16"/>
      <x:c r="C5" s="16"/>
      <x:c r="D5" s="16"/>
      <x:c r="E5" s="16"/>
      <x:c r="F5" s="16"/>
      <x:c r="G5" s="16"/>
      <x:c r="H5" s="16"/>
      <x:c r="I5" s="16"/>
      <x:c r="J5" s="16"/>
    </x:row>
    <x:row r="6" ht="34" customHeight="1">
      <x:c r="A6" s="16"/>
      <x:c r="B6" s="16"/>
      <x:c r="C6" s="16"/>
      <x:c r="D6" s="16"/>
      <x:c r="E6" s="16"/>
      <x:c r="F6" s="16"/>
      <x:c r="G6" s="16"/>
      <x:c r="H6" s="16"/>
      <x:c r="I6" s="16"/>
      <x:c r="J6" s="16"/>
    </x:row>
    <x:row r="7" ht="34" customHeight="1">
      <x:c r="A7" s="16"/>
      <x:c r="B7" s="16"/>
      <x:c r="C7" s="16"/>
      <x:c r="D7" s="16"/>
      <x:c r="E7" s="16"/>
      <x:c r="F7" s="16"/>
      <x:c r="G7" s="16"/>
      <x:c r="H7" s="16"/>
      <x:c r="I7" s="16"/>
      <x:c r="J7" s="16"/>
    </x:row>
    <x:row r="8" ht="34" customHeight="1">
      <x:c r="A8" s="16"/>
      <x:c r="B8" s="16"/>
      <x:c r="C8" s="16"/>
      <x:c r="D8" s="16"/>
      <x:c r="E8" s="16"/>
      <x:c r="F8" s="16"/>
      <x:c r="G8" s="16"/>
      <x:c r="H8" s="16"/>
      <x:c r="I8" s="16"/>
      <x:c r="J8" s="16"/>
    </x:row>
    <x:row r="9" ht="34" customHeight="1">
      <x:c r="A9" s="16"/>
      <x:c r="B9" s="16"/>
      <x:c r="C9" s="16"/>
      <x:c r="D9" s="16"/>
      <x:c r="E9" s="16"/>
      <x:c r="F9" s="16"/>
      <x:c r="G9" s="16"/>
      <x:c r="H9" s="16"/>
      <x:c r="I9" s="16"/>
      <x:c r="J9" s="16"/>
    </x:row>
    <x:row r="10" ht="34" customHeight="1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</x:row>
    <x:row r="11" ht="34" customHeight="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</x:row>
    <x:row r="12" ht="34" customHeight="1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</x:row>
    <x:row r="13" ht="34" customHeight="1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</x:row>
    <x:row r="14" ht="34" customHeight="1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</x:row>
    <x:row r="15" ht="34" customHeight="1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</x:row>
    <x:row r="16" ht="34" customHeight="1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</x:row>
    <x:row r="17" ht="34" customHeight="1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</x:row>
    <x:row r="18" ht="34" customHeight="1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</x:row>
    <x:row r="19" ht="34" customHeight="1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</x:row>
    <x:row r="20" ht="34" customHeight="1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</x:row>
    <x:row r="21" ht="34" customHeight="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</x:row>
    <x:row r="22" ht="34" customHeight="1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</x:row>
    <x:row r="23" ht="34" customHeight="1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</x:row>
    <x:row r="24" ht="34" customHeight="1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</x:row>
  </x:sheetData>
  <x:dataValidations count="1">
    <x:dataValidation type="list" sqref="H5:H24">
      <x:formula1>"resolved,ambiguous,unknown"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105254b590840c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4" hidden="0" customWidth="1"/>
    <x:col min="2" max="2" width="16" hidden="0" customWidth="1"/>
    <x:col min="3" max="3" width="28" hidden="0" customWidth="1"/>
    <x:col min="4" max="4" width="18" hidden="0" customWidth="1"/>
    <x:col min="5" max="5" width="45" hidden="0" customWidth="1"/>
  </x:cols>
  <x:sheetData>
    <x:row r="1">
      <x:c r="A1" s="1" t="str">
        <x:v>Blind gold entity index</x:v>
      </x:c>
    </x:row>
    <x:row r="2">
      <x:c r="A2" s="14" t="str">
        <x:v>Coordinator fills white source sheets. SME fills amber review sheets. Filter by claim_number and note_id.</x:v>
      </x:c>
    </x:row>
    <x:row r="4" ht="34" customHeight="1">
      <x:c r="A4" s="15" t="str">
        <x:v>entity_ref</x:v>
      </x:c>
      <x:c r="B4" s="15" t="str">
        <x:v>claim_number</x:v>
      </x:c>
      <x:c r="C4" s="15" t="str">
        <x:v>display_name</x:v>
      </x:c>
      <x:c r="D4" s="15" t="str">
        <x:v>entity_type</x:v>
      </x:c>
      <x:c r="E4" s="15" t="str">
        <x:v>supporting_mentions</x:v>
      </x:c>
    </x:row>
    <x:row r="5" ht="34" customHeight="1">
      <x:c r="A5" s="16"/>
      <x:c r="B5" s="16"/>
      <x:c r="C5" s="16"/>
      <x:c r="D5" s="16"/>
      <x:c r="E5" s="16"/>
    </x:row>
    <x:row r="6" ht="34" customHeight="1">
      <x:c r="A6" s="16"/>
      <x:c r="B6" s="16"/>
      <x:c r="C6" s="16"/>
      <x:c r="D6" s="16"/>
      <x:c r="E6" s="16"/>
    </x:row>
    <x:row r="7" ht="34" customHeight="1">
      <x:c r="A7" s="16"/>
      <x:c r="B7" s="16"/>
      <x:c r="C7" s="16"/>
      <x:c r="D7" s="16"/>
      <x:c r="E7" s="16"/>
    </x:row>
    <x:row r="8" ht="34" customHeight="1">
      <x:c r="A8" s="16"/>
      <x:c r="B8" s="16"/>
      <x:c r="C8" s="16"/>
      <x:c r="D8" s="16"/>
      <x:c r="E8" s="16"/>
    </x:row>
    <x:row r="9" ht="34" customHeight="1">
      <x:c r="A9" s="16"/>
      <x:c r="B9" s="16"/>
      <x:c r="C9" s="16"/>
      <x:c r="D9" s="16"/>
      <x:c r="E9" s="16"/>
    </x:row>
    <x:row r="10" ht="34" customHeight="1">
      <x:c r="A10" s="16"/>
      <x:c r="B10" s="16"/>
      <x:c r="C10" s="16"/>
      <x:c r="D10" s="16"/>
      <x:c r="E10" s="16"/>
    </x:row>
    <x:row r="11" ht="34" customHeight="1">
      <x:c r="A11" s="16"/>
      <x:c r="B11" s="16"/>
      <x:c r="C11" s="16"/>
      <x:c r="D11" s="16"/>
      <x:c r="E11" s="16"/>
    </x:row>
    <x:row r="12" ht="34" customHeight="1">
      <x:c r="A12" s="16"/>
      <x:c r="B12" s="16"/>
      <x:c r="C12" s="16"/>
      <x:c r="D12" s="16"/>
      <x:c r="E12" s="16"/>
    </x:row>
    <x:row r="13" ht="34" customHeight="1">
      <x:c r="A13" s="16"/>
      <x:c r="B13" s="16"/>
      <x:c r="C13" s="16"/>
      <x:c r="D13" s="16"/>
      <x:c r="E13" s="16"/>
    </x:row>
    <x:row r="14" ht="34" customHeight="1">
      <x:c r="A14" s="16"/>
      <x:c r="B14" s="16"/>
      <x:c r="C14" s="16"/>
      <x:c r="D14" s="16"/>
      <x:c r="E14" s="16"/>
    </x:row>
    <x:row r="15" ht="34" customHeight="1">
      <x:c r="A15" s="16"/>
      <x:c r="B15" s="16"/>
      <x:c r="C15" s="16"/>
      <x:c r="D15" s="16"/>
      <x:c r="E15" s="16"/>
    </x:row>
    <x:row r="16" ht="34" customHeight="1">
      <x:c r="A16" s="16"/>
      <x:c r="B16" s="16"/>
      <x:c r="C16" s="16"/>
      <x:c r="D16" s="16"/>
      <x:c r="E16" s="16"/>
    </x:row>
    <x:row r="17" ht="34" customHeight="1">
      <x:c r="A17" s="16"/>
      <x:c r="B17" s="16"/>
      <x:c r="C17" s="16"/>
      <x:c r="D17" s="16"/>
      <x:c r="E17" s="16"/>
    </x:row>
    <x:row r="18" ht="34" customHeight="1">
      <x:c r="A18" s="16"/>
      <x:c r="B18" s="16"/>
      <x:c r="C18" s="16"/>
      <x:c r="D18" s="16"/>
      <x:c r="E18" s="16"/>
    </x:row>
    <x:row r="19" ht="34" customHeight="1">
      <x:c r="A19" s="16"/>
      <x:c r="B19" s="16"/>
      <x:c r="C19" s="16"/>
      <x:c r="D19" s="16"/>
      <x:c r="E19" s="16"/>
    </x:row>
    <x:row r="20" ht="34" customHeight="1">
      <x:c r="A20" s="16"/>
      <x:c r="B20" s="16"/>
      <x:c r="C20" s="16"/>
      <x:c r="D20" s="16"/>
      <x:c r="E20" s="16"/>
    </x:row>
    <x:row r="21" ht="34" customHeight="1">
      <x:c r="A21" s="16"/>
      <x:c r="B21" s="16"/>
      <x:c r="C21" s="16"/>
      <x:c r="D21" s="16"/>
      <x:c r="E21" s="16"/>
    </x:row>
    <x:row r="22" ht="34" customHeight="1">
      <x:c r="A22" s="16"/>
      <x:c r="B22" s="16"/>
      <x:c r="C22" s="16"/>
      <x:c r="D22" s="16"/>
      <x:c r="E22" s="16"/>
    </x:row>
    <x:row r="23" ht="34" customHeight="1">
      <x:c r="A23" s="16"/>
      <x:c r="B23" s="16"/>
      <x:c r="C23" s="16"/>
      <x:c r="D23" s="16"/>
      <x:c r="E23" s="16"/>
    </x:row>
    <x:row r="24" ht="34" customHeight="1">
      <x:c r="A24" s="16"/>
      <x:c r="B24" s="16"/>
      <x:c r="C24" s="16"/>
      <x:c r="D24" s="16"/>
      <x:c r="E24" s="16"/>
    </x:row>
  </x:sheetData>
  <x:pageMargins left="0.7" right="0.7" top="0.75" bottom="0.75" header="0.3" footer="0.3"/>
  <x:tableParts count="1">
    <x:tablePart xmlns:r="http://schemas.openxmlformats.org/officeDocument/2006/relationships" r:id="Rb4890820874d441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4" hidden="0" customWidth="1"/>
    <x:col min="4" max="4" width="30" hidden="0" customWidth="1"/>
    <x:col min="5" max="5" width="25" hidden="0" customWidth="1"/>
  </x:cols>
  <x:sheetData>
    <x:row r="1">
      <x:c r="A1" s="1" t="str">
        <x:v>Raw client entity output — released after gold is sealed</x:v>
      </x:c>
    </x:row>
    <x:row r="2">
      <x:c r="A2" s="14" t="str">
        <x:v>Coordinator fills white source sheets. SME fills amber review sheets. Filter by claim_number and note_id.</x:v>
      </x:c>
    </x:row>
    <x:row r="4" ht="34" customHeight="1">
      <x:c r="A4" s="15" t="str">
        <x:v>record_id</x:v>
      </x:c>
      <x:c r="B4" s="15" t="str">
        <x:v>claim_number</x:v>
      </x:c>
      <x:c r="C4" s="15" t="str">
        <x:v>note_id</x:v>
      </x:c>
      <x:c r="D4" s="15" t="str">
        <x:v>entity_record</x:v>
      </x:c>
      <x:c r="E4" s="15" t="str">
        <x:v>Identification_type</x:v>
      </x:c>
    </x:row>
    <x:row r="5" ht="34" customHeight="1">
      <x:c r="A5" s="16"/>
      <x:c r="B5" s="16"/>
      <x:c r="C5" s="16"/>
      <x:c r="D5" s="16"/>
      <x:c r="E5" s="16"/>
    </x:row>
    <x:row r="6" ht="34" customHeight="1">
      <x:c r="A6" s="16"/>
      <x:c r="B6" s="16"/>
      <x:c r="C6" s="16"/>
      <x:c r="D6" s="16"/>
      <x:c r="E6" s="16"/>
    </x:row>
    <x:row r="7" ht="34" customHeight="1">
      <x:c r="A7" s="16"/>
      <x:c r="B7" s="16"/>
      <x:c r="C7" s="16"/>
      <x:c r="D7" s="16"/>
      <x:c r="E7" s="16"/>
    </x:row>
    <x:row r="8" ht="34" customHeight="1">
      <x:c r="A8" s="16"/>
      <x:c r="B8" s="16"/>
      <x:c r="C8" s="16"/>
      <x:c r="D8" s="16"/>
      <x:c r="E8" s="16"/>
    </x:row>
    <x:row r="9" ht="34" customHeight="1">
      <x:c r="A9" s="16"/>
      <x:c r="B9" s="16"/>
      <x:c r="C9" s="16"/>
      <x:c r="D9" s="16"/>
      <x:c r="E9" s="16"/>
    </x:row>
    <x:row r="10" ht="34" customHeight="1">
      <x:c r="A10" s="16"/>
      <x:c r="B10" s="16"/>
      <x:c r="C10" s="16"/>
      <x:c r="D10" s="16"/>
      <x:c r="E10" s="16"/>
    </x:row>
    <x:row r="11" ht="34" customHeight="1">
      <x:c r="A11" s="16"/>
      <x:c r="B11" s="16"/>
      <x:c r="C11" s="16"/>
      <x:c r="D11" s="16"/>
      <x:c r="E11" s="16"/>
    </x:row>
    <x:row r="12" ht="34" customHeight="1">
      <x:c r="A12" s="16"/>
      <x:c r="B12" s="16"/>
      <x:c r="C12" s="16"/>
      <x:c r="D12" s="16"/>
      <x:c r="E12" s="16"/>
    </x:row>
    <x:row r="13" ht="34" customHeight="1">
      <x:c r="A13" s="16"/>
      <x:c r="B13" s="16"/>
      <x:c r="C13" s="16"/>
      <x:c r="D13" s="16"/>
      <x:c r="E13" s="16"/>
    </x:row>
    <x:row r="14" ht="34" customHeight="1">
      <x:c r="A14" s="16"/>
      <x:c r="B14" s="16"/>
      <x:c r="C14" s="16"/>
      <x:c r="D14" s="16"/>
      <x:c r="E14" s="16"/>
    </x:row>
    <x:row r="15" ht="34" customHeight="1">
      <x:c r="A15" s="16"/>
      <x:c r="B15" s="16"/>
      <x:c r="C15" s="16"/>
      <x:c r="D15" s="16"/>
      <x:c r="E15" s="16"/>
    </x:row>
    <x:row r="16" ht="34" customHeight="1">
      <x:c r="A16" s="16"/>
      <x:c r="B16" s="16"/>
      <x:c r="C16" s="16"/>
      <x:c r="D16" s="16"/>
      <x:c r="E16" s="16"/>
    </x:row>
    <x:row r="17" ht="34" customHeight="1">
      <x:c r="A17" s="16"/>
      <x:c r="B17" s="16"/>
      <x:c r="C17" s="16"/>
      <x:c r="D17" s="16"/>
      <x:c r="E17" s="16"/>
    </x:row>
    <x:row r="18" ht="34" customHeight="1">
      <x:c r="A18" s="16"/>
      <x:c r="B18" s="16"/>
      <x:c r="C18" s="16"/>
      <x:c r="D18" s="16"/>
      <x:c r="E18" s="16"/>
    </x:row>
    <x:row r="19" ht="34" customHeight="1">
      <x:c r="A19" s="16"/>
      <x:c r="B19" s="16"/>
      <x:c r="C19" s="16"/>
      <x:c r="D19" s="16"/>
      <x:c r="E19" s="16"/>
    </x:row>
    <x:row r="20" ht="34" customHeight="1">
      <x:c r="A20" s="16"/>
      <x:c r="B20" s="16"/>
      <x:c r="C20" s="16"/>
      <x:c r="D20" s="16"/>
      <x:c r="E20" s="16"/>
    </x:row>
    <x:row r="21" ht="34" customHeight="1">
      <x:c r="A21" s="16"/>
      <x:c r="B21" s="16"/>
      <x:c r="C21" s="16"/>
      <x:c r="D21" s="16"/>
      <x:c r="E21" s="16"/>
    </x:row>
    <x:row r="22" ht="34" customHeight="1">
      <x:c r="A22" s="16"/>
      <x:c r="B22" s="16"/>
      <x:c r="C22" s="16"/>
      <x:c r="D22" s="16"/>
      <x:c r="E22" s="16"/>
    </x:row>
    <x:row r="23" ht="34" customHeight="1">
      <x:c r="A23" s="16"/>
      <x:c r="B23" s="16"/>
      <x:c r="C23" s="16"/>
      <x:c r="D23" s="16"/>
      <x:c r="E23" s="16"/>
    </x:row>
    <x:row r="24" ht="34" customHeight="1">
      <x:c r="A24" s="16"/>
      <x:c r="B24" s="16"/>
      <x:c r="C24" s="16"/>
      <x:c r="D24" s="16"/>
      <x:c r="E24" s="16"/>
    </x:row>
  </x:sheetData>
  <x:pageMargins left="0.7" right="0.7" top="0.75" bottom="0.75" header="0.3" footer="0.3"/>
  <x:tableParts count="1">
    <x:tablePart xmlns:r="http://schemas.openxmlformats.org/officeDocument/2006/relationships" r:id="R2727b83d67f8445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4" hidden="0" customWidth="1"/>
    <x:col min="4" max="4" width="28" hidden="0" customWidth="1"/>
    <x:col min="5" max="5" width="14" hidden="0" customWidth="1"/>
    <x:col min="6" max="6" width="24" hidden="0" customWidth="1"/>
    <x:col min="7" max="7" width="24" hidden="0" customWidth="1"/>
    <x:col min="8" max="8" width="65" hidden="0" customWidth="1"/>
    <x:col min="9" max="9" width="16" hidden="0" customWidth="1"/>
  </x:cols>
  <x:sheetData>
    <x:row r="1">
      <x:c r="A1" s="1" t="str">
        <x:v>Silver review of raw client output</x:v>
      </x:c>
    </x:row>
    <x:row r="2">
      <x:c r="A2" s="14" t="str">
        <x:v>Coordinator fills white source sheets. SME fills amber review sheets. Filter by claim_number and note_id.</x:v>
      </x:c>
    </x:row>
    <x:row r="4" ht="34" customHeight="1">
      <x:c r="A4" s="15" t="str">
        <x:v>record_id</x:v>
      </x:c>
      <x:c r="B4" s="15" t="str">
        <x:v>claim_number</x:v>
      </x:c>
      <x:c r="C4" s="15" t="str">
        <x:v>note_id</x:v>
      </x:c>
      <x:c r="D4" s="15" t="str">
        <x:v>review_result</x:v>
      </x:c>
      <x:c r="E4" s="15" t="str">
        <x:v>entity_ref</x:v>
      </x:c>
      <x:c r="F4" s="15" t="str">
        <x:v>evidence_ids</x:v>
      </x:c>
      <x:c r="G4" s="15" t="str">
        <x:v>evidence_relation</x:v>
      </x:c>
      <x:c r="H4" s="15" t="str">
        <x:v>review_reason</x:v>
      </x:c>
      <x:c r="I4" s="15" t="str">
        <x:v>reviewer</x:v>
      </x:c>
    </x:row>
    <x:row r="5" ht="34" customHeight="1">
      <x:c r="A5" s="21"/>
      <x:c r="B5" s="21"/>
      <x:c r="C5" s="21"/>
      <x:c r="D5" s="21"/>
      <x:c r="E5" s="21"/>
      <x:c r="F5" s="21"/>
      <x:c r="G5" s="21"/>
      <x:c r="H5" s="21"/>
      <x:c r="I5" s="21"/>
    </x:row>
    <x:row r="6" ht="34" customHeight="1">
      <x:c r="A6" s="21"/>
      <x:c r="B6" s="21"/>
      <x:c r="C6" s="21"/>
      <x:c r="D6" s="21"/>
      <x:c r="E6" s="21"/>
      <x:c r="F6" s="21"/>
      <x:c r="G6" s="21"/>
      <x:c r="H6" s="21"/>
      <x:c r="I6" s="21"/>
    </x:row>
    <x:row r="7" ht="34" customHeight="1">
      <x:c r="A7" s="21"/>
      <x:c r="B7" s="21"/>
      <x:c r="C7" s="21"/>
      <x:c r="D7" s="21"/>
      <x:c r="E7" s="21"/>
      <x:c r="F7" s="21"/>
      <x:c r="G7" s="21"/>
      <x:c r="H7" s="21"/>
      <x:c r="I7" s="21"/>
    </x:row>
    <x:row r="8" ht="34" customHeight="1">
      <x:c r="A8" s="21"/>
      <x:c r="B8" s="21"/>
      <x:c r="C8" s="21"/>
      <x:c r="D8" s="21"/>
      <x:c r="E8" s="21"/>
      <x:c r="F8" s="21"/>
      <x:c r="G8" s="21"/>
      <x:c r="H8" s="21"/>
      <x:c r="I8" s="21"/>
    </x:row>
    <x:row r="9" ht="34" customHeight="1">
      <x:c r="A9" s="21"/>
      <x:c r="B9" s="21"/>
      <x:c r="C9" s="21"/>
      <x:c r="D9" s="21"/>
      <x:c r="E9" s="21"/>
      <x:c r="F9" s="21"/>
      <x:c r="G9" s="21"/>
      <x:c r="H9" s="21"/>
      <x:c r="I9" s="21"/>
    </x:row>
    <x:row r="10" ht="34" customHeight="1">
      <x:c r="A10" s="21"/>
      <x:c r="B10" s="21"/>
      <x:c r="C10" s="21"/>
      <x:c r="D10" s="21"/>
      <x:c r="E10" s="21"/>
      <x:c r="F10" s="21"/>
      <x:c r="G10" s="21"/>
      <x:c r="H10" s="21"/>
      <x:c r="I10" s="21"/>
    </x:row>
    <x:row r="11" ht="34" customHeight="1">
      <x:c r="A11" s="21"/>
      <x:c r="B11" s="21"/>
      <x:c r="C11" s="21"/>
      <x:c r="D11" s="21"/>
      <x:c r="E11" s="21"/>
      <x:c r="F11" s="21"/>
      <x:c r="G11" s="21"/>
      <x:c r="H11" s="21"/>
      <x:c r="I11" s="21"/>
    </x:row>
    <x:row r="12" ht="34" customHeight="1">
      <x:c r="A12" s="21"/>
      <x:c r="B12" s="21"/>
      <x:c r="C12" s="21"/>
      <x:c r="D12" s="21"/>
      <x:c r="E12" s="21"/>
      <x:c r="F12" s="21"/>
      <x:c r="G12" s="21"/>
      <x:c r="H12" s="21"/>
      <x:c r="I12" s="21"/>
    </x:row>
    <x:row r="13" ht="34" customHeight="1">
      <x:c r="A13" s="21"/>
      <x:c r="B13" s="21"/>
      <x:c r="C13" s="21"/>
      <x:c r="D13" s="21"/>
      <x:c r="E13" s="21"/>
      <x:c r="F13" s="21"/>
      <x:c r="G13" s="21"/>
      <x:c r="H13" s="21"/>
      <x:c r="I13" s="21"/>
    </x:row>
    <x:row r="14" ht="34" customHeight="1">
      <x:c r="A14" s="21"/>
      <x:c r="B14" s="21"/>
      <x:c r="C14" s="21"/>
      <x:c r="D14" s="21"/>
      <x:c r="E14" s="21"/>
      <x:c r="F14" s="21"/>
      <x:c r="G14" s="21"/>
      <x:c r="H14" s="21"/>
      <x:c r="I14" s="21"/>
    </x:row>
    <x:row r="15" ht="34" customHeight="1">
      <x:c r="A15" s="21"/>
      <x:c r="B15" s="21"/>
      <x:c r="C15" s="21"/>
      <x:c r="D15" s="21"/>
      <x:c r="E15" s="21"/>
      <x:c r="F15" s="21"/>
      <x:c r="G15" s="21"/>
      <x:c r="H15" s="21"/>
      <x:c r="I15" s="21"/>
    </x:row>
    <x:row r="16" ht="34" customHeight="1">
      <x:c r="A16" s="21"/>
      <x:c r="B16" s="21"/>
      <x:c r="C16" s="21"/>
      <x:c r="D16" s="21"/>
      <x:c r="E16" s="21"/>
      <x:c r="F16" s="21"/>
      <x:c r="G16" s="21"/>
      <x:c r="H16" s="21"/>
      <x:c r="I16" s="21"/>
    </x:row>
    <x:row r="17" ht="34" customHeight="1">
      <x:c r="A17" s="21"/>
      <x:c r="B17" s="21"/>
      <x:c r="C17" s="21"/>
      <x:c r="D17" s="21"/>
      <x:c r="E17" s="21"/>
      <x:c r="F17" s="21"/>
      <x:c r="G17" s="21"/>
      <x:c r="H17" s="21"/>
      <x:c r="I17" s="21"/>
    </x:row>
    <x:row r="18" ht="34" customHeight="1">
      <x:c r="A18" s="21"/>
      <x:c r="B18" s="21"/>
      <x:c r="C18" s="21"/>
      <x:c r="D18" s="21"/>
      <x:c r="E18" s="21"/>
      <x:c r="F18" s="21"/>
      <x:c r="G18" s="21"/>
      <x:c r="H18" s="21"/>
      <x:c r="I18" s="21"/>
    </x:row>
    <x:row r="19" ht="34" customHeight="1">
      <x:c r="A19" s="21"/>
      <x:c r="B19" s="21"/>
      <x:c r="C19" s="21"/>
      <x:c r="D19" s="21"/>
      <x:c r="E19" s="21"/>
      <x:c r="F19" s="21"/>
      <x:c r="G19" s="21"/>
      <x:c r="H19" s="21"/>
      <x:c r="I19" s="21"/>
    </x:row>
    <x:row r="20" ht="34" customHeight="1">
      <x:c r="A20" s="21"/>
      <x:c r="B20" s="21"/>
      <x:c r="C20" s="21"/>
      <x:c r="D20" s="21"/>
      <x:c r="E20" s="21"/>
      <x:c r="F20" s="21"/>
      <x:c r="G20" s="21"/>
      <x:c r="H20" s="21"/>
      <x:c r="I20" s="21"/>
    </x:row>
    <x:row r="21" ht="34" customHeight="1">
      <x:c r="A21" s="21"/>
      <x:c r="B21" s="21"/>
      <x:c r="C21" s="21"/>
      <x:c r="D21" s="21"/>
      <x:c r="E21" s="21"/>
      <x:c r="F21" s="21"/>
      <x:c r="G21" s="21"/>
      <x:c r="H21" s="21"/>
      <x:c r="I21" s="21"/>
    </x:row>
    <x:row r="22" ht="34" customHeight="1">
      <x:c r="A22" s="21"/>
      <x:c r="B22" s="21"/>
      <x:c r="C22" s="21"/>
      <x:c r="D22" s="21"/>
      <x:c r="E22" s="21"/>
      <x:c r="F22" s="21"/>
      <x:c r="G22" s="21"/>
      <x:c r="H22" s="21"/>
      <x:c r="I22" s="21"/>
    </x:row>
    <x:row r="23" ht="34" customHeight="1">
      <x:c r="A23" s="21"/>
      <x:c r="B23" s="21"/>
      <x:c r="C23" s="21"/>
      <x:c r="D23" s="21"/>
      <x:c r="E23" s="21"/>
      <x:c r="F23" s="21"/>
      <x:c r="G23" s="21"/>
      <x:c r="H23" s="21"/>
      <x:c r="I23" s="21"/>
    </x:row>
    <x:row r="24" ht="34" customHeight="1">
      <x:c r="A24" s="21"/>
      <x:c r="B24" s="21"/>
      <x:c r="C24" s="21"/>
      <x:c r="D24" s="21"/>
      <x:c r="E24" s="21"/>
      <x:c r="F24" s="21"/>
      <x:c r="G24" s="21"/>
      <x:c r="H24" s="21"/>
      <x:c r="I24" s="21"/>
    </x:row>
  </x:sheetData>
  <x:dataValidations count="1">
    <x:dataValidation type="list" sqref="D5:D24">
      <x:formula1>"supported,supported_multiple_locations,ambiguous,unsupported,needs_context"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40fd3f80c90481e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2" hidden="0" customWidth="1"/>
    <x:col min="2" max="2" width="16" hidden="0" customWidth="1"/>
    <x:col min="3" max="3" width="26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18" hidden="0" customWidth="1"/>
    <x:col min="12" max="12" width="28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16" hidden="0" customWidth="1"/>
    <x:col min="21" max="21" width="16" hidden="0" customWidth="1"/>
  </x:cols>
  <x:sheetData>
    <x:row r="1">
      <x:c r="A1" s="1" t="str">
        <x:v>Raw watchlist candidate pairs — released after gold is sealed</x:v>
      </x:c>
    </x:row>
    <x:row r="2">
      <x:c r="A2" s="14" t="str">
        <x:v>Coordinator fills white source sheets. SME fills amber review sheets. Filter by claim_number and note_id.</x:v>
      </x:c>
    </x:row>
    <x:row r="4" ht="34" customHeight="1">
      <x:c r="A4" s="15" t="str">
        <x:v>pair_id</x:v>
      </x:c>
      <x:c r="B4" s="15" t="str">
        <x:v>claim_number</x:v>
      </x:c>
      <x:c r="C4" s="15" t="str">
        <x:v>watchlist entity name</x:v>
      </x:c>
      <x:c r="D4" s="15" t="str">
        <x:v>watchlist category</x:v>
      </x:c>
      <x:c r="E4" s="15" t="str">
        <x:v>watchlist address</x:v>
      </x:c>
      <x:c r="F4" s="15" t="str">
        <x:v>watchlist city</x:v>
      </x:c>
      <x:c r="G4" s="15" t="str">
        <x:v>watchlist state</x:v>
      </x:c>
      <x:c r="H4" s="15" t="str">
        <x:v>watchlist zip</x:v>
      </x:c>
      <x:c r="I4" s="15" t="str">
        <x:v>watchlist phone number</x:v>
      </x:c>
      <x:c r="J4" s="15" t="str">
        <x:v>watchlist TIN</x:v>
      </x:c>
      <x:c r="K4" s="15" t="str">
        <x:v>system identified entity name</x:v>
      </x:c>
      <x:c r="L4" s="15" t="str">
        <x:v>system category</x:v>
      </x:c>
      <x:c r="M4" s="15" t="str">
        <x:v>system address</x:v>
      </x:c>
      <x:c r="N4" s="15" t="str">
        <x:v>system city</x:v>
      </x:c>
      <x:c r="O4" s="15" t="str">
        <x:v>system state</x:v>
      </x:c>
      <x:c r="P4" s="15" t="str">
        <x:v>system zip</x:v>
      </x:c>
      <x:c r="Q4" s="15" t="str">
        <x:v>system phone number</x:v>
      </x:c>
      <x:c r="R4" s="15" t="str">
        <x:v>system TIN</x:v>
      </x:c>
      <x:c r="S4" s="15" t="str">
        <x:v>Similarity Score</x:v>
      </x:c>
      <x:c r="T4" s="15" t="str">
        <x:v>review_scope</x:v>
      </x:c>
    </x:row>
    <x:row r="5" ht="34" customHeight="1">
      <x:c r="A5" s="16"/>
      <x:c r="B5" s="16"/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16"/>
      <x:c r="N5" s="16"/>
      <x:c r="O5" s="16"/>
      <x:c r="P5" s="16"/>
      <x:c r="Q5" s="16"/>
      <x:c r="R5" s="16"/>
      <x:c r="S5" s="16"/>
      <x:c r="T5" s="16"/>
    </x:row>
    <x:row r="6" ht="34" customHeight="1">
      <x:c r="A6" s="16"/>
      <x:c r="B6" s="16"/>
      <x:c r="C6" s="16"/>
      <x:c r="D6" s="16"/>
      <x:c r="E6" s="16"/>
      <x:c r="F6" s="16"/>
      <x:c r="G6" s="16"/>
      <x:c r="H6" s="16"/>
      <x:c r="I6" s="16"/>
      <x:c r="J6" s="16"/>
      <x:c r="K6" s="16"/>
      <x:c r="L6" s="16"/>
      <x:c r="M6" s="16"/>
      <x:c r="N6" s="16"/>
      <x:c r="O6" s="16"/>
      <x:c r="P6" s="16"/>
      <x:c r="Q6" s="16"/>
      <x:c r="R6" s="16"/>
      <x:c r="S6" s="16"/>
      <x:c r="T6" s="16"/>
    </x:row>
    <x:row r="7" ht="34" customHeight="1">
      <x:c r="A7" s="16"/>
      <x:c r="B7" s="16"/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16"/>
      <x:c r="N7" s="16"/>
      <x:c r="O7" s="16"/>
      <x:c r="P7" s="16"/>
      <x:c r="Q7" s="16"/>
      <x:c r="R7" s="16"/>
      <x:c r="S7" s="16"/>
      <x:c r="T7" s="16"/>
    </x:row>
    <x:row r="8" ht="34" customHeight="1">
      <x:c r="A8" s="16"/>
      <x:c r="B8" s="16"/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  <x:c r="N8" s="16"/>
      <x:c r="O8" s="16"/>
      <x:c r="P8" s="16"/>
      <x:c r="Q8" s="16"/>
      <x:c r="R8" s="16"/>
      <x:c r="S8" s="16"/>
      <x:c r="T8" s="16"/>
    </x:row>
    <x:row r="9" ht="34" customHeight="1">
      <x:c r="A9" s="16"/>
      <x:c r="B9" s="16"/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  <x:c r="N9" s="16"/>
      <x:c r="O9" s="16"/>
      <x:c r="P9" s="16"/>
      <x:c r="Q9" s="16"/>
      <x:c r="R9" s="16"/>
      <x:c r="S9" s="16"/>
      <x:c r="T9" s="16"/>
    </x:row>
    <x:row r="10" ht="34" customHeight="1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  <x:c r="N10" s="16"/>
      <x:c r="O10" s="16"/>
      <x:c r="P10" s="16"/>
      <x:c r="Q10" s="16"/>
      <x:c r="R10" s="16"/>
      <x:c r="S10" s="16"/>
      <x:c r="T10" s="16"/>
    </x:row>
    <x:row r="11" ht="34" customHeight="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  <x:c r="N11" s="16"/>
      <x:c r="O11" s="16"/>
      <x:c r="P11" s="16"/>
      <x:c r="Q11" s="16"/>
      <x:c r="R11" s="16"/>
      <x:c r="S11" s="16"/>
      <x:c r="T11" s="16"/>
    </x:row>
    <x:row r="12" ht="34" customHeight="1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  <x:c r="N12" s="16"/>
      <x:c r="O12" s="16"/>
      <x:c r="P12" s="16"/>
      <x:c r="Q12" s="16"/>
      <x:c r="R12" s="16"/>
      <x:c r="S12" s="16"/>
      <x:c r="T12" s="16"/>
    </x:row>
    <x:row r="13" ht="34" customHeight="1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  <x:c r="N13" s="16"/>
      <x:c r="O13" s="16"/>
      <x:c r="P13" s="16"/>
      <x:c r="Q13" s="16"/>
      <x:c r="R13" s="16"/>
      <x:c r="S13" s="16"/>
      <x:c r="T13" s="16"/>
    </x:row>
    <x:row r="14" ht="34" customHeight="1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  <x:c r="N14" s="16"/>
      <x:c r="O14" s="16"/>
      <x:c r="P14" s="16"/>
      <x:c r="Q14" s="16"/>
      <x:c r="R14" s="16"/>
      <x:c r="S14" s="16"/>
      <x:c r="T14" s="16"/>
    </x:row>
    <x:row r="15" ht="34" customHeight="1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  <x:c r="N15" s="16"/>
      <x:c r="O15" s="16"/>
      <x:c r="P15" s="16"/>
      <x:c r="Q15" s="16"/>
      <x:c r="R15" s="16"/>
      <x:c r="S15" s="16"/>
      <x:c r="T15" s="16"/>
    </x:row>
    <x:row r="16" ht="34" customHeight="1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  <x:c r="T16" s="16"/>
    </x:row>
    <x:row r="17" ht="34" customHeight="1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  <x:c r="N17" s="16"/>
      <x:c r="O17" s="16"/>
      <x:c r="P17" s="16"/>
      <x:c r="Q17" s="16"/>
      <x:c r="R17" s="16"/>
      <x:c r="S17" s="16"/>
      <x:c r="T17" s="16"/>
    </x:row>
    <x:row r="18" ht="34" customHeight="1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  <x:c r="T18" s="16"/>
    </x:row>
    <x:row r="19" ht="34" customHeight="1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  <x:c r="M19" s="16"/>
      <x:c r="N19" s="16"/>
      <x:c r="O19" s="16"/>
      <x:c r="P19" s="16"/>
      <x:c r="Q19" s="16"/>
      <x:c r="R19" s="16"/>
      <x:c r="S19" s="16"/>
      <x:c r="T19" s="16"/>
    </x:row>
    <x:row r="20" ht="34" customHeight="1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  <x:c r="T20" s="16"/>
    </x:row>
    <x:row r="21" ht="34" customHeight="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  <x:c r="M21" s="16"/>
      <x:c r="N21" s="16"/>
      <x:c r="O21" s="16"/>
      <x:c r="P21" s="16"/>
      <x:c r="Q21" s="16"/>
      <x:c r="R21" s="16"/>
      <x:c r="S21" s="16"/>
      <x:c r="T21" s="16"/>
    </x:row>
    <x:row r="22" ht="34" customHeight="1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  <x:c r="T22" s="16"/>
    </x:row>
    <x:row r="23" ht="34" customHeight="1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  <x:c r="M23" s="16"/>
      <x:c r="N23" s="16"/>
      <x:c r="O23" s="16"/>
      <x:c r="P23" s="16"/>
      <x:c r="Q23" s="16"/>
      <x:c r="R23" s="16"/>
      <x:c r="S23" s="16"/>
      <x:c r="T23" s="16"/>
    </x:row>
    <x:row r="24" ht="34" customHeight="1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  <x:c r="T24" s="16"/>
    </x:row>
  </x:sheetData>
  <x:pageMargins left="0.7" right="0.7" top="0.75" bottom="0.75" header="0.3" footer="0.3"/>
  <x:tableParts count="1">
    <x:tablePart xmlns:r="http://schemas.openxmlformats.org/officeDocument/2006/relationships" r:id="R034967bd6a1a4762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2" hidden="0" customWidth="1"/>
    <x:col min="2" max="2" width="16" hidden="0" customWidth="1"/>
    <x:col min="3" max="3" width="22" hidden="0" customWidth="1"/>
    <x:col min="4" max="4" width="30" hidden="0" customWidth="1"/>
    <x:col min="5" max="5" width="30" hidden="0" customWidth="1"/>
    <x:col min="6" max="6" width="16" hidden="0" customWidth="1"/>
    <x:col min="7" max="7" width="60" hidden="0" customWidth="1"/>
    <x:col min="8" max="8" width="16" hidden="0" customWidth="1"/>
  </x:cols>
  <x:sheetData>
    <x:row r="1">
      <x:c r="A1" s="1" t="str">
        <x:v>Watchlist field comparison</x:v>
      </x:c>
    </x:row>
    <x:row r="2">
      <x:c r="A2" s="14" t="str">
        <x:v>Coordinator fills white source sheets. SME fills amber review sheets. Filter by claim_number and note_id.</x:v>
      </x:c>
    </x:row>
    <x:row r="4" ht="34" customHeight="1">
      <x:c r="A4" s="15" t="str">
        <x:v>pair_id</x:v>
      </x:c>
      <x:c r="B4" s="15" t="str">
        <x:v>claim_number</x:v>
      </x:c>
      <x:c r="C4" s="15" t="str">
        <x:v>field</x:v>
      </x:c>
      <x:c r="D4" s="15" t="str">
        <x:v>watchlist value</x:v>
      </x:c>
      <x:c r="E4" s="15" t="str">
        <x:v>system value</x:v>
      </x:c>
      <x:c r="F4" s="15" t="str">
        <x:v>comparison</x:v>
      </x:c>
      <x:c r="G4" s="15" t="str">
        <x:v>review_note</x:v>
      </x:c>
      <x:c r="H4" s="15" t="str">
        <x:v>reviewer</x:v>
      </x:c>
    </x:row>
    <x:row r="5" ht="34" customHeight="1">
      <x:c r="A5" s="21"/>
      <x:c r="B5" s="21"/>
      <x:c r="C5" s="21"/>
      <x:c r="D5" s="21"/>
      <x:c r="E5" s="21"/>
      <x:c r="F5" s="21"/>
      <x:c r="G5" s="21"/>
      <x:c r="H5" s="21"/>
    </x:row>
    <x:row r="6" ht="34" customHeight="1">
      <x:c r="A6" s="21"/>
      <x:c r="B6" s="21"/>
      <x:c r="C6" s="21"/>
      <x:c r="D6" s="21"/>
      <x:c r="E6" s="21"/>
      <x:c r="F6" s="21"/>
      <x:c r="G6" s="21"/>
      <x:c r="H6" s="21"/>
    </x:row>
    <x:row r="7" ht="34" customHeight="1">
      <x:c r="A7" s="21"/>
      <x:c r="B7" s="21"/>
      <x:c r="C7" s="21"/>
      <x:c r="D7" s="21"/>
      <x:c r="E7" s="21"/>
      <x:c r="F7" s="21"/>
      <x:c r="G7" s="21"/>
      <x:c r="H7" s="21"/>
    </x:row>
    <x:row r="8" ht="34" customHeight="1">
      <x:c r="A8" s="21"/>
      <x:c r="B8" s="21"/>
      <x:c r="C8" s="21"/>
      <x:c r="D8" s="21"/>
      <x:c r="E8" s="21"/>
      <x:c r="F8" s="21"/>
      <x:c r="G8" s="21"/>
      <x:c r="H8" s="21"/>
    </x:row>
    <x:row r="9" ht="34" customHeight="1">
      <x:c r="A9" s="21"/>
      <x:c r="B9" s="21"/>
      <x:c r="C9" s="21"/>
      <x:c r="D9" s="21"/>
      <x:c r="E9" s="21"/>
      <x:c r="F9" s="21"/>
      <x:c r="G9" s="21"/>
      <x:c r="H9" s="21"/>
    </x:row>
    <x:row r="10" ht="34" customHeight="1">
      <x:c r="A10" s="21"/>
      <x:c r="B10" s="21"/>
      <x:c r="C10" s="21"/>
      <x:c r="D10" s="21"/>
      <x:c r="E10" s="21"/>
      <x:c r="F10" s="21"/>
      <x:c r="G10" s="21"/>
      <x:c r="H10" s="21"/>
    </x:row>
    <x:row r="11" ht="34" customHeight="1">
      <x:c r="A11" s="21"/>
      <x:c r="B11" s="21"/>
      <x:c r="C11" s="21"/>
      <x:c r="D11" s="21"/>
      <x:c r="E11" s="21"/>
      <x:c r="F11" s="21"/>
      <x:c r="G11" s="21"/>
      <x:c r="H11" s="21"/>
    </x:row>
    <x:row r="12" ht="34" customHeight="1">
      <x:c r="A12" s="21"/>
      <x:c r="B12" s="21"/>
      <x:c r="C12" s="21"/>
      <x:c r="D12" s="21"/>
      <x:c r="E12" s="21"/>
      <x:c r="F12" s="21"/>
      <x:c r="G12" s="21"/>
      <x:c r="H12" s="21"/>
    </x:row>
    <x:row r="13" ht="34" customHeight="1">
      <x:c r="A13" s="21"/>
      <x:c r="B13" s="21"/>
      <x:c r="C13" s="21"/>
      <x:c r="D13" s="21"/>
      <x:c r="E13" s="21"/>
      <x:c r="F13" s="21"/>
      <x:c r="G13" s="21"/>
      <x:c r="H13" s="21"/>
    </x:row>
    <x:row r="14" ht="34" customHeight="1">
      <x:c r="A14" s="21"/>
      <x:c r="B14" s="21"/>
      <x:c r="C14" s="21"/>
      <x:c r="D14" s="21"/>
      <x:c r="E14" s="21"/>
      <x:c r="F14" s="21"/>
      <x:c r="G14" s="21"/>
      <x:c r="H14" s="21"/>
    </x:row>
    <x:row r="15" ht="34" customHeight="1">
      <x:c r="A15" s="21"/>
      <x:c r="B15" s="21"/>
      <x:c r="C15" s="21"/>
      <x:c r="D15" s="21"/>
      <x:c r="E15" s="21"/>
      <x:c r="F15" s="21"/>
      <x:c r="G15" s="21"/>
      <x:c r="H15" s="21"/>
    </x:row>
    <x:row r="16" ht="34" customHeight="1">
      <x:c r="A16" s="21"/>
      <x:c r="B16" s="21"/>
      <x:c r="C16" s="21"/>
      <x:c r="D16" s="21"/>
      <x:c r="E16" s="21"/>
      <x:c r="F16" s="21"/>
      <x:c r="G16" s="21"/>
      <x:c r="H16" s="21"/>
    </x:row>
    <x:row r="17" ht="34" customHeight="1">
      <x:c r="A17" s="21"/>
      <x:c r="B17" s="21"/>
      <x:c r="C17" s="21"/>
      <x:c r="D17" s="21"/>
      <x:c r="E17" s="21"/>
      <x:c r="F17" s="21"/>
      <x:c r="G17" s="21"/>
      <x:c r="H17" s="21"/>
    </x:row>
    <x:row r="18" ht="34" customHeight="1">
      <x:c r="A18" s="21"/>
      <x:c r="B18" s="21"/>
      <x:c r="C18" s="21"/>
      <x:c r="D18" s="21"/>
      <x:c r="E18" s="21"/>
      <x:c r="F18" s="21"/>
      <x:c r="G18" s="21"/>
      <x:c r="H18" s="21"/>
    </x:row>
    <x:row r="19" ht="34" customHeight="1">
      <x:c r="A19" s="21"/>
      <x:c r="B19" s="21"/>
      <x:c r="C19" s="21"/>
      <x:c r="D19" s="21"/>
      <x:c r="E19" s="21"/>
      <x:c r="F19" s="21"/>
      <x:c r="G19" s="21"/>
      <x:c r="H19" s="21"/>
    </x:row>
    <x:row r="20" ht="34" customHeight="1">
      <x:c r="A20" s="21"/>
      <x:c r="B20" s="21"/>
      <x:c r="C20" s="21"/>
      <x:c r="D20" s="21"/>
      <x:c r="E20" s="21"/>
      <x:c r="F20" s="21"/>
      <x:c r="G20" s="21"/>
      <x:c r="H20" s="21"/>
    </x:row>
    <x:row r="21" ht="34" customHeight="1">
      <x:c r="A21" s="21"/>
      <x:c r="B21" s="21"/>
      <x:c r="C21" s="21"/>
      <x:c r="D21" s="21"/>
      <x:c r="E21" s="21"/>
      <x:c r="F21" s="21"/>
      <x:c r="G21" s="21"/>
      <x:c r="H21" s="21"/>
    </x:row>
    <x:row r="22" ht="34" customHeight="1">
      <x:c r="A22" s="21"/>
      <x:c r="B22" s="21"/>
      <x:c r="C22" s="21"/>
      <x:c r="D22" s="21"/>
      <x:c r="E22" s="21"/>
      <x:c r="F22" s="21"/>
      <x:c r="G22" s="21"/>
      <x:c r="H22" s="21"/>
    </x:row>
    <x:row r="23" ht="34" customHeight="1">
      <x:c r="A23" s="21"/>
      <x:c r="B23" s="21"/>
      <x:c r="C23" s="21"/>
      <x:c r="D23" s="21"/>
      <x:c r="E23" s="21"/>
      <x:c r="F23" s="21"/>
      <x:c r="G23" s="21"/>
      <x:c r="H23" s="21"/>
    </x:row>
    <x:row r="24" ht="34" customHeight="1">
      <x:c r="A24" s="21"/>
      <x:c r="B24" s="21"/>
      <x:c r="C24" s="21"/>
      <x:c r="D24" s="21"/>
      <x:c r="E24" s="21"/>
      <x:c r="F24" s="21"/>
      <x:c r="G24" s="21"/>
      <x:c r="H24" s="21"/>
    </x:row>
  </x:sheetData>
  <x:dataValidations count="1">
    <x:dataValidation type="list" sqref="F5:F24">
      <x:formula1>"agrees,differs,missing,unclear"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5acd0a043da46cb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24" hidden="0" customWidth="1"/>
    <x:col min="5" max="5" width="22" hidden="0" customWidth="1"/>
    <x:col min="6" max="6" width="16" hidden="0" customWidth="1"/>
    <x:col min="7" max="7" width="70" hidden="0" customWidth="1"/>
    <x:col min="8" max="8" width="16" hidden="0" customWidth="1"/>
    <x:col min="9" max="9" width="16" hidden="0" customWidth="1"/>
  </x:cols>
  <x:sheetData>
    <x:row r="1">
      <x:c r="A1" s="1" t="str">
        <x:v>Watchlist pair decision</x:v>
      </x:c>
    </x:row>
    <x:row r="2">
      <x:c r="A2" s="14" t="str">
        <x:v>Coordinator fills white source sheets. SME fills amber review sheets. Filter by claim_number and note_id.</x:v>
      </x:c>
    </x:row>
    <x:row r="4" ht="34" customHeight="1">
      <x:c r="A4" s="15" t="str">
        <x:v>pair_id</x:v>
      </x:c>
      <x:c r="B4" s="15" t="str">
        <x:v>claim_number</x:v>
      </x:c>
      <x:c r="C4" s="15" t="str">
        <x:v>review_scope</x:v>
      </x:c>
      <x:c r="D4" s="15" t="str">
        <x:v>identity_decision</x:v>
      </x:c>
      <x:c r="E4" s="15" t="str">
        <x:v>source_verification</x:v>
      </x:c>
      <x:c r="F4" s="15" t="str">
        <x:v>Similarity Score</x:v>
      </x:c>
      <x:c r="G4" s="15" t="str">
        <x:v>review_reason</x:v>
      </x:c>
      <x:c r="H4" s="15" t="str">
        <x:v>reviewer</x:v>
      </x:c>
      <x:c r="I4" s="15" t="str">
        <x:v>review_status</x:v>
      </x:c>
    </x:row>
    <x:row r="5" ht="34" customHeight="1">
      <x:c r="A5" s="21"/>
      <x:c r="B5" s="21"/>
      <x:c r="C5" s="21"/>
      <x:c r="D5" s="21"/>
      <x:c r="E5" s="21"/>
      <x:c r="F5" s="21"/>
      <x:c r="G5" s="21"/>
      <x:c r="H5" s="21"/>
      <x:c r="I5" s="21"/>
    </x:row>
    <x:row r="6" ht="34" customHeight="1">
      <x:c r="A6" s="21"/>
      <x:c r="B6" s="21"/>
      <x:c r="C6" s="21"/>
      <x:c r="D6" s="21"/>
      <x:c r="E6" s="21"/>
      <x:c r="F6" s="21"/>
      <x:c r="G6" s="21"/>
      <x:c r="H6" s="21"/>
      <x:c r="I6" s="21"/>
    </x:row>
    <x:row r="7" ht="34" customHeight="1">
      <x:c r="A7" s="21"/>
      <x:c r="B7" s="21"/>
      <x:c r="C7" s="21"/>
      <x:c r="D7" s="21"/>
      <x:c r="E7" s="21"/>
      <x:c r="F7" s="21"/>
      <x:c r="G7" s="21"/>
      <x:c r="H7" s="21"/>
      <x:c r="I7" s="21"/>
    </x:row>
    <x:row r="8" ht="34" customHeight="1">
      <x:c r="A8" s="21"/>
      <x:c r="B8" s="21"/>
      <x:c r="C8" s="21"/>
      <x:c r="D8" s="21"/>
      <x:c r="E8" s="21"/>
      <x:c r="F8" s="21"/>
      <x:c r="G8" s="21"/>
      <x:c r="H8" s="21"/>
      <x:c r="I8" s="21"/>
    </x:row>
    <x:row r="9" ht="34" customHeight="1">
      <x:c r="A9" s="21"/>
      <x:c r="B9" s="21"/>
      <x:c r="C9" s="21"/>
      <x:c r="D9" s="21"/>
      <x:c r="E9" s="21"/>
      <x:c r="F9" s="21"/>
      <x:c r="G9" s="21"/>
      <x:c r="H9" s="21"/>
      <x:c r="I9" s="21"/>
    </x:row>
    <x:row r="10" ht="34" customHeight="1">
      <x:c r="A10" s="21"/>
      <x:c r="B10" s="21"/>
      <x:c r="C10" s="21"/>
      <x:c r="D10" s="21"/>
      <x:c r="E10" s="21"/>
      <x:c r="F10" s="21"/>
      <x:c r="G10" s="21"/>
      <x:c r="H10" s="21"/>
      <x:c r="I10" s="21"/>
    </x:row>
    <x:row r="11" ht="34" customHeight="1">
      <x:c r="A11" s="21"/>
      <x:c r="B11" s="21"/>
      <x:c r="C11" s="21"/>
      <x:c r="D11" s="21"/>
      <x:c r="E11" s="21"/>
      <x:c r="F11" s="21"/>
      <x:c r="G11" s="21"/>
      <x:c r="H11" s="21"/>
      <x:c r="I11" s="21"/>
    </x:row>
    <x:row r="12" ht="34" customHeight="1">
      <x:c r="A12" s="21"/>
      <x:c r="B12" s="21"/>
      <x:c r="C12" s="21"/>
      <x:c r="D12" s="21"/>
      <x:c r="E12" s="21"/>
      <x:c r="F12" s="21"/>
      <x:c r="G12" s="21"/>
      <x:c r="H12" s="21"/>
      <x:c r="I12" s="21"/>
    </x:row>
    <x:row r="13" ht="34" customHeight="1">
      <x:c r="A13" s="21"/>
      <x:c r="B13" s="21"/>
      <x:c r="C13" s="21"/>
      <x:c r="D13" s="21"/>
      <x:c r="E13" s="21"/>
      <x:c r="F13" s="21"/>
      <x:c r="G13" s="21"/>
      <x:c r="H13" s="21"/>
      <x:c r="I13" s="21"/>
    </x:row>
    <x:row r="14" ht="34" customHeight="1">
      <x:c r="A14" s="21"/>
      <x:c r="B14" s="21"/>
      <x:c r="C14" s="21"/>
      <x:c r="D14" s="21"/>
      <x:c r="E14" s="21"/>
      <x:c r="F14" s="21"/>
      <x:c r="G14" s="21"/>
      <x:c r="H14" s="21"/>
      <x:c r="I14" s="21"/>
    </x:row>
    <x:row r="15" ht="34" customHeight="1">
      <x:c r="A15" s="21"/>
      <x:c r="B15" s="21"/>
      <x:c r="C15" s="21"/>
      <x:c r="D15" s="21"/>
      <x:c r="E15" s="21"/>
      <x:c r="F15" s="21"/>
      <x:c r="G15" s="21"/>
      <x:c r="H15" s="21"/>
      <x:c r="I15" s="21"/>
    </x:row>
    <x:row r="16" ht="34" customHeight="1">
      <x:c r="A16" s="21"/>
      <x:c r="B16" s="21"/>
      <x:c r="C16" s="21"/>
      <x:c r="D16" s="21"/>
      <x:c r="E16" s="21"/>
      <x:c r="F16" s="21"/>
      <x:c r="G16" s="21"/>
      <x:c r="H16" s="21"/>
      <x:c r="I16" s="21"/>
    </x:row>
    <x:row r="17" ht="34" customHeight="1">
      <x:c r="A17" s="21"/>
      <x:c r="B17" s="21"/>
      <x:c r="C17" s="21"/>
      <x:c r="D17" s="21"/>
      <x:c r="E17" s="21"/>
      <x:c r="F17" s="21"/>
      <x:c r="G17" s="21"/>
      <x:c r="H17" s="21"/>
      <x:c r="I17" s="21"/>
    </x:row>
    <x:row r="18" ht="34" customHeight="1">
      <x:c r="A18" s="21"/>
      <x:c r="B18" s="21"/>
      <x:c r="C18" s="21"/>
      <x:c r="D18" s="21"/>
      <x:c r="E18" s="21"/>
      <x:c r="F18" s="21"/>
      <x:c r="G18" s="21"/>
      <x:c r="H18" s="21"/>
      <x:c r="I18" s="21"/>
    </x:row>
    <x:row r="19" ht="34" customHeight="1">
      <x:c r="A19" s="21"/>
      <x:c r="B19" s="21"/>
      <x:c r="C19" s="21"/>
      <x:c r="D19" s="21"/>
      <x:c r="E19" s="21"/>
      <x:c r="F19" s="21"/>
      <x:c r="G19" s="21"/>
      <x:c r="H19" s="21"/>
      <x:c r="I19" s="21"/>
    </x:row>
    <x:row r="20" ht="34" customHeight="1">
      <x:c r="A20" s="21"/>
      <x:c r="B20" s="21"/>
      <x:c r="C20" s="21"/>
      <x:c r="D20" s="21"/>
      <x:c r="E20" s="21"/>
      <x:c r="F20" s="21"/>
      <x:c r="G20" s="21"/>
      <x:c r="H20" s="21"/>
      <x:c r="I20" s="21"/>
    </x:row>
    <x:row r="21" ht="34" customHeight="1">
      <x:c r="A21" s="21"/>
      <x:c r="B21" s="21"/>
      <x:c r="C21" s="21"/>
      <x:c r="D21" s="21"/>
      <x:c r="E21" s="21"/>
      <x:c r="F21" s="21"/>
      <x:c r="G21" s="21"/>
      <x:c r="H21" s="21"/>
      <x:c r="I21" s="21"/>
    </x:row>
    <x:row r="22" ht="34" customHeight="1">
      <x:c r="A22" s="21"/>
      <x:c r="B22" s="21"/>
      <x:c r="C22" s="21"/>
      <x:c r="D22" s="21"/>
      <x:c r="E22" s="21"/>
      <x:c r="F22" s="21"/>
      <x:c r="G22" s="21"/>
      <x:c r="H22" s="21"/>
      <x:c r="I22" s="21"/>
    </x:row>
    <x:row r="23" ht="34" customHeight="1">
      <x:c r="A23" s="21"/>
      <x:c r="B23" s="21"/>
      <x:c r="C23" s="21"/>
      <x:c r="D23" s="21"/>
      <x:c r="E23" s="21"/>
      <x:c r="F23" s="21"/>
      <x:c r="G23" s="21"/>
      <x:c r="H23" s="21"/>
      <x:c r="I23" s="21"/>
    </x:row>
    <x:row r="24" ht="34" customHeight="1">
      <x:c r="A24" s="21"/>
      <x:c r="B24" s="21"/>
      <x:c r="C24" s="21"/>
      <x:c r="D24" s="21"/>
      <x:c r="E24" s="21"/>
      <x:c r="F24" s="21"/>
      <x:c r="G24" s="21"/>
      <x:c r="H24" s="21"/>
      <x:c r="I24" s="21"/>
    </x:row>
  </x:sheetData>
  <x:dataValidations count="4">
    <x:dataValidation type="list" sqref="C5:C24">
      <x:formula1>"included,excluded"</x:formula1>
    </x:dataValidation>
    <x:dataValidation type="list" sqref="D5:D24">
      <x:formula1>"same_entity,different_entity,insufficient_evidence,needs_context"</x:formula1>
    </x:dataValidation>
    <x:dataValidation type="list" sqref="E5:E24">
      <x:formula1>"not_checked,supported,ambiguous,unsupported,needs_context"</x:formula1>
    </x:dataValidation>
    <x:dataValidation type="list" sqref="I5:I24">
      <x:formula1>"complete,incomplete"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0bbbc2ae214230"/>
  </x:tableParts>
</x:worksheet>
</file>