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1ac162879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Watchlist_summary" sheetId="1" r:id="R8fe389ab81b54f2f"/>
    <x:sheet xmlns:r="http://schemas.openxmlformats.org/officeDocument/2006/relationships" name="01_Note_inventory" sheetId="2" r:id="R3d10cf52d5124972"/>
    <x:sheet xmlns:r="http://schemas.openxmlformats.org/officeDocument/2006/relationships" name="02_Gold_mentions" sheetId="3" r:id="R29135f4bae5b4e12"/>
    <x:sheet xmlns:r="http://schemas.openxmlformats.org/officeDocument/2006/relationships" name="03_Gold_entities" sheetId="4" r:id="R3d1c24403555449f"/>
    <x:sheet xmlns:r="http://schemas.openxmlformats.org/officeDocument/2006/relationships" name="04_Client_entity_output" sheetId="5" r:id="R7738e0f7384c416e"/>
    <x:sheet xmlns:r="http://schemas.openxmlformats.org/officeDocument/2006/relationships" name="05_Silver_entity_review" sheetId="6" r:id="R9a626bc6b4b24e51"/>
    <x:sheet xmlns:r="http://schemas.openxmlformats.org/officeDocument/2006/relationships" name="06_Watchlist_pair_input" sheetId="7" r:id="Rbf30fda0a9204544"/>
    <x:sheet xmlns:r="http://schemas.openxmlformats.org/officeDocument/2006/relationships" name="07_Watchlist_field_review" sheetId="8" r:id="Re2c0e0b3e53f4644"/>
    <x:sheet xmlns:r="http://schemas.openxmlformats.org/officeDocument/2006/relationships" name="08_Watchlist_pair_review" sheetId="9" r:id="Rb18ecddc4120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5">
    <x:font>
      <x:sz val="11"/>
      <x:name val="Carlito"/>
    </x:font>
    <x:font>
      <x:b/>
      <x:sz val="15"/>
      <x:color rgb="FF172B42"/>
      <x:name val="Arial"/>
    </x:font>
    <x:font>
      <x:b/>
      <x:sz val="10"/>
      <x:color rgb="FFFFFFFF"/>
      <x:name val="Arial"/>
    </x:font>
    <x:font>
      <x:sz val="10"/>
      <x:color rgb="FF172B42"/>
      <x:name val="Arial"/>
    </x:font>
    <x:font>
      <x:i/>
      <x:sz val="10"/>
      <x:color rgb="FF5261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  <x:fill>
      <x:patternFill patternType="solid">
        <x:fgColor rgb="FFDEF5E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bc854874e4d3e" /><Relationship Type="http://schemas.openxmlformats.org/officeDocument/2006/relationships/theme" Target="/xl/theme/theme1.xml" Id="R5e1caf0d09c942a8" /><Relationship Type="http://schemas.openxmlformats.org/officeDocument/2006/relationships/sharedStrings" Target="/xl/sharedStrings.xml" Id="R4a59f92743834ac8" /><Relationship Type="http://schemas.openxmlformats.org/officeDocument/2006/relationships/worksheet" Target="/xl/worksheets/sheet1.xml" Id="R8fe389ab81b54f2f" /><Relationship Type="http://schemas.openxmlformats.org/officeDocument/2006/relationships/worksheet" Target="/xl/worksheets/sheet2.xml" Id="R3d10cf52d5124972" /><Relationship Type="http://schemas.openxmlformats.org/officeDocument/2006/relationships/worksheet" Target="/xl/worksheets/sheet3.xml" Id="R29135f4bae5b4e12" /><Relationship Type="http://schemas.openxmlformats.org/officeDocument/2006/relationships/worksheet" Target="/xl/worksheets/sheet4.xml" Id="R3d1c24403555449f" /><Relationship Type="http://schemas.openxmlformats.org/officeDocument/2006/relationships/worksheet" Target="/xl/worksheets/sheet5.xml" Id="R7738e0f7384c416e" /><Relationship Type="http://schemas.openxmlformats.org/officeDocument/2006/relationships/worksheet" Target="/xl/worksheets/sheet6.xml" Id="R9a626bc6b4b24e51" /><Relationship Type="http://schemas.openxmlformats.org/officeDocument/2006/relationships/worksheet" Target="/xl/worksheets/sheet7.xml" Id="Rbf30fda0a9204544" /><Relationship Type="http://schemas.openxmlformats.org/officeDocument/2006/relationships/worksheet" Target="/xl/worksheets/sheet8.xml" Id="Re2c0e0b3e53f4644" /><Relationship Type="http://schemas.openxmlformats.org/officeDocument/2006/relationships/worksheet" Target="/xl/worksheets/sheet9.xml" Id="Rb18ecddc4120471b" /></Relationships>
</file>

<file path=xl/tables/table1.xml><?xml version="1.0" encoding="utf-8"?>
<x:table xmlns:x="http://schemas.openxmlformats.org/spreadsheetml/2006/main" id="1" name="TNoteinventory" displayName="TNoteinventory" ref="A4:F6" headerRowCount="1" totalsRowCount="0" totalsRowShown="0">
  <x:tableColumns count="6">
    <x:tableColumn id="1" name="claim_number"/>
    <x:tableColumn id="2" name="note_id"/>
    <x:tableColumn id="3" name="note_order"/>
    <x:tableColumn id="4" name="source_version"/>
    <x:tableColumn id="5" name="note_filename"/>
    <x:tableColumn id="6" name="gold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Goldmentions" displayName="TGoldmentions" ref="A4:J14" headerRowCount="1" totalsRowCount="0" totalsRowShown="0">
  <x:tableColumns count="10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mention_form"/>
    <x:tableColumn id="8" name="resolution"/>
    <x:tableColumn id="9" name="reason"/>
    <x:tableColumn id="10" name="revie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Goldentities" displayName="TGoldentities" ref="A4:E7" headerRowCount="1" totalsRowCount="0" totalsRowShown="0">
  <x:tableColumns count="5">
    <x:tableColumn id="1" name="entity_ref"/>
    <x:tableColumn id="2" name="claim_number"/>
    <x:tableColumn id="3" name="display_name"/>
    <x:tableColumn id="4" name="entity_type"/>
    <x:tableColumn id="5" name="supporting_men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liententityoutput" displayName="TCliententityoutput" ref="A4:E10" headerRowCount="1" totalsRowCount="0" totalsRowShown="0">
  <x:tableColumns count="5">
    <x:tableColumn id="1" name="record_id"/>
    <x:tableColumn id="2" name="claim_number"/>
    <x:tableColumn id="3" name="note_id"/>
    <x:tableColumn id="4" name="entity_record"/>
    <x:tableColumn id="5" name="Identification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ilverentityreview" displayName="TSilverentityreview" ref="A4:I10" headerRowCount="1" totalsRowCount="0" totalsRowShown="0">
  <x:tableColumns count="9">
    <x:tableColumn id="1" name="record_id"/>
    <x:tableColumn id="2" name="claim_number"/>
    <x:tableColumn id="3" name="note_id"/>
    <x:tableColumn id="4" name="review_result"/>
    <x:tableColumn id="5" name="entity_ref"/>
    <x:tableColumn id="6" name="evidence_ids"/>
    <x:tableColumn id="7" name="evidence_relation"/>
    <x:tableColumn id="8" name="review_reason"/>
    <x:tableColumn id="9" name="review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Watchlistpairinput" displayName="TWatchlistpairinput" ref="A4:T7" headerRowCount="1" totalsRowCount="0" totalsRowShown="0">
  <x:tableColumns count="20">
    <x:tableColumn id="1" name="pair_id"/>
    <x:tableColumn id="2" name="claim_number"/>
    <x:tableColumn id="3" name="watchlist entity name"/>
    <x:tableColumn id="4" name="watchlist category"/>
    <x:tableColumn id="5" name="watchlist address"/>
    <x:tableColumn id="6" name="watchlist city"/>
    <x:tableColumn id="7" name="watchlist state"/>
    <x:tableColumn id="8" name="watchlist zip"/>
    <x:tableColumn id="9" name="watchlist phone number"/>
    <x:tableColumn id="10" name="watchlist TIN"/>
    <x:tableColumn id="11" name="system identified entity name"/>
    <x:tableColumn id="12" name="system category"/>
    <x:tableColumn id="13" name="system address"/>
    <x:tableColumn id="14" name="system city"/>
    <x:tableColumn id="15" name="system state"/>
    <x:tableColumn id="16" name="system zip"/>
    <x:tableColumn id="17" name="system phone number"/>
    <x:tableColumn id="18" name="system TIN"/>
    <x:tableColumn id="19" name="Similarity Score"/>
    <x:tableColumn id="20" name="review_sco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Watchlistfieldreview" displayName="TWatchlistfieldreview" ref="A4:H10" headerRowCount="1" totalsRowCount="0" totalsRowShown="0">
  <x:tableColumns count="8">
    <x:tableColumn id="1" name="pair_id"/>
    <x:tableColumn id="2" name="claim_number"/>
    <x:tableColumn id="3" name="field"/>
    <x:tableColumn id="4" name="watchlist value"/>
    <x:tableColumn id="5" name="system value"/>
    <x:tableColumn id="6" name="comparison"/>
    <x:tableColumn id="7" name="review_note"/>
    <x:tableColumn id="8" name="review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atchlistpairreview" displayName="TWatchlistpairreview" ref="A4:I7" headerRowCount="1" totalsRowCount="0" totalsRowShown="0">
  <x:tableColumns count="9">
    <x:tableColumn id="1" name="pair_id"/>
    <x:tableColumn id="2" name="claim_number"/>
    <x:tableColumn id="3" name="review_scope"/>
    <x:tableColumn id="4" name="identity_decision"/>
    <x:tableColumn id="5" name="source_verification"/>
    <x:tableColumn id="6" name="Similarity Score"/>
    <x:tableColumn id="7" name="review_reason"/>
    <x:tableColumn id="8" name="reviewer"/>
    <x:tableColumn id="9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37679e58c49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d94b44486d40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cc58cde9574f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6e390ecc024e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f3e9b80118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8610c7fc1d4c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bcb5d6e4fa41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c729c65ec543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</x:cols>
  <x:sheetData>
    <x:row r="1">
      <x:c r="A1" s="1" t="str">
        <x:v>Watchlist fuzzy-match review summary</x:v>
      </x:c>
    </x:row>
    <x:row r="3" ht="34" customHeight="1">
      <x:c r="A3" s="4" t="str">
        <x:v>Metric</x:v>
      </x:c>
      <x:c r="B3" s="4" t="str">
        <x:v>Value</x:v>
      </x:c>
    </x:row>
    <x:row r="4" ht="34" customHeight="1">
      <x:c r="A4" s="8" t="str">
        <x:v>Included pair rows</x:v>
      </x:c>
      <x:c r="B4" s="12" t="n">
        <x:f>COUNTIFS('08_Watchlist_pair_review'!$C$5:$C$24,"included")</x:f>
        <x:v>3</x:v>
      </x:c>
    </x:row>
    <x:row r="5" ht="34" customHeight="1">
      <x:c r="A5" s="8" t="str">
        <x:v>Completed pair reviews</x:v>
      </x:c>
      <x:c r="B5" s="12" t="n">
        <x:f>COUNTIFS('08_Watchlist_pair_review'!$C$5:$C$24,"included",'08_Watchlist_pair_review'!$I$5:$I$24,"complete")</x:f>
        <x:v>3</x:v>
      </x:c>
    </x:row>
    <x:row r="6" ht="34" customHeight="1">
      <x:c r="A6" s="8" t="str">
        <x:v>Determinate identity decisions</x:v>
      </x:c>
      <x:c r="B6" s="12" t="n">
        <x:f>COUNTIFS('08_Watchlist_pair_review'!$C$5:$C$24,"included",'08_Watchlist_pair_review'!$D$5:$D$24,"same_entity")+COUNTIFS('08_Watchlist_pair_review'!$C$5:$C$24,"included",'08_Watchlist_pair_review'!$D$5:$D$24,"different_entity")</x:f>
        <x:v>2</x:v>
      </x:c>
    </x:row>
    <x:row r="7" ht="34" customHeight="1">
      <x:c r="A7" s="8" t="str">
        <x:v>Confirmed same entity</x:v>
      </x:c>
      <x:c r="B7" s="12" t="n">
        <x:f>COUNTIFS('08_Watchlist_pair_review'!$C$5:$C$24,"included",'08_Watchlist_pair_review'!$D$5:$D$24,"same_entity")</x:f>
        <x:v>1</x:v>
      </x:c>
    </x:row>
    <x:row r="8" ht="34" customHeight="1">
      <x:c r="A8" s="8" t="str">
        <x:v>Confirmed different entity</x:v>
      </x:c>
      <x:c r="B8" s="12" t="n">
        <x:f>COUNTIFS('08_Watchlist_pair_review'!$C$5:$C$24,"included",'08_Watchlist_pair_review'!$D$5:$D$24,"different_entity")</x:f>
        <x:v>1</x:v>
      </x:c>
    </x:row>
    <x:row r="9" ht="34" customHeight="1">
      <x:c r="A9" s="8" t="str">
        <x:v>Indeterminate / needs context</x:v>
      </x:c>
      <x:c r="B9" s="12" t="n">
        <x:f>COUNTIFS('08_Watchlist_pair_review'!$C$5:$C$24,"included",'08_Watchlist_pair_review'!$D$5:$D$24,"insufficient_evidence")+COUNTIFS('08_Watchlist_pair_review'!$C$5:$C$24,"included",'08_Watchlist_pair_review'!$D$5:$D$24,"needs_context")</x:f>
        <x:v>1</x:v>
      </x:c>
    </x:row>
    <x:row r="10" ht="34" customHeight="1">
      <x:c r="A10" s="8" t="str">
        <x:v>Fuzzy-match precision among determinate included reviews</x:v>
      </x:c>
      <x:c r="B10" s="13" t="n">
        <x:f>IF(B6=0,"n.a.",B7/B6)</x:f>
        <x:v>0.5</x:v>
      </x:c>
    </x:row>
    <x:row r="12">
      <x:c r="A12" s="14" t="str">
        <x:v>This is accepted-match precision only. It excludes incomplete and indeterminate reviews. It does not measure missed entities or missed alerts.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8" hidden="0" customWidth="1"/>
    <x:col min="5" max="5" width="28" hidden="0" customWidth="1"/>
    <x:col min="6" max="6" width="18" hidden="0" customWidth="1"/>
  </x:cols>
  <x:sheetData>
    <x:row r="1">
      <x:c r="A1" s="1" t="str">
        <x:v>Source note inventory</x:v>
      </x:c>
    </x:row>
    <x:row r="2">
      <x:c r="A2" s="14" t="str">
        <x:v>Fictional completed training example.</x:v>
      </x:c>
    </x:row>
    <x:row r="4" ht="34" customHeight="1">
      <x:c r="A4" s="15" t="str">
        <x:v>claim_number</x:v>
      </x:c>
      <x:c r="B4" s="15" t="str">
        <x:v>note_id</x:v>
      </x:c>
      <x:c r="C4" s="15" t="str">
        <x:v>note_order</x:v>
      </x:c>
      <x:c r="D4" s="15" t="str">
        <x:v>source_version</x:v>
      </x:c>
      <x:c r="E4" s="15" t="str">
        <x:v>note_filename</x:v>
      </x:c>
      <x:c r="F4" s="15" t="str">
        <x:v>gold_status</x:v>
      </x:c>
    </x:row>
    <x:row r="5" ht="34" customHeight="1">
      <x:c r="A5" s="16" t="str">
        <x:v>C104</x:v>
      </x:c>
      <x:c r="B5" s="16" t="str">
        <x:v>N01</x:v>
      </x:c>
      <x:c r="C5" s="16" t="n">
        <x:v>1</x:v>
      </x:c>
      <x:c r="D5" s="16" t="str">
        <x:v>TEXT-1</x:v>
      </x:c>
      <x:c r="E5" s="16" t="str">
        <x:v>C104_N01.txt</x:v>
      </x:c>
      <x:c r="F5" s="16" t="str">
        <x:v>complete</x:v>
      </x:c>
    </x:row>
    <x:row r="6" ht="34" customHeight="1">
      <x:c r="A6" s="16" t="str">
        <x:v>C104</x:v>
      </x:c>
      <x:c r="B6" s="16" t="str">
        <x:v>N02</x:v>
      </x:c>
      <x:c r="C6" s="16" t="n">
        <x:v>2</x:v>
      </x:c>
      <x:c r="D6" s="16" t="str">
        <x:v>TEXT-1</x:v>
      </x:c>
      <x:c r="E6" s="16" t="str">
        <x:v>C104_N02.txt</x:v>
      </x:c>
      <x:c r="F6" s="16" t="str">
        <x:v>complete</x:v>
      </x:c>
    </x:row>
  </x:sheetData>
  <x:dataValidations count="1">
    <x:dataValidation type="list" sqref="F5:F6">
      <x:formula1>"not_started,in_progress,sealed,needs_context"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a37679e58c499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8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55" hidden="0" customWidth="1"/>
    <x:col min="10" max="10" width="16" hidden="0" customWidth="1"/>
  </x:cols>
  <x:sheetData>
    <x:row r="1">
      <x:c r="A1" s="1" t="str">
        <x:v>Blind gold mentions</x:v>
      </x:c>
    </x:row>
    <x:row r="2">
      <x:c r="A2" s="14" t="str">
        <x:v>Fictional completed training example.</x:v>
      </x:c>
    </x:row>
    <x:row r="4" ht="34" customHeight="1">
      <x:c r="A4" s="15" t="str">
        <x:v>mention_id</x:v>
      </x:c>
      <x:c r="B4" s="15" t="str">
        <x:v>claim_number</x:v>
      </x:c>
      <x:c r="C4" s="15" t="str">
        <x:v>note_id</x:v>
      </x:c>
      <x:c r="D4" s="15" t="str">
        <x:v>exact_text</x:v>
      </x:c>
      <x:c r="E4" s="15" t="str">
        <x:v>occurrence</x:v>
      </x:c>
      <x:c r="F4" s="15" t="str">
        <x:v>entity_ref</x:v>
      </x:c>
      <x:c r="G4" s="15" t="str">
        <x:v>mention_form</x:v>
      </x:c>
      <x:c r="H4" s="15" t="str">
        <x:v>resolution</x:v>
      </x:c>
      <x:c r="I4" s="15" t="str">
        <x:v>reason</x:v>
      </x:c>
      <x:c r="J4" s="15" t="str">
        <x:v>reviewer</x:v>
      </x:c>
    </x:row>
    <x:row r="5" ht="34" customHeight="1">
      <x:c r="A5" s="16" t="str">
        <x:v>M01</x:v>
      </x:c>
      <x:c r="B5" s="16" t="str">
        <x:v>C104</x:v>
      </x:c>
      <x:c r="C5" s="16" t="str">
        <x:v>N01</x:v>
      </x:c>
      <x:c r="D5" s="16" t="str">
        <x:v>Maya Chen</x:v>
      </x:c>
      <x:c r="E5" s="16" t="n">
        <x:v>1</x:v>
      </x:c>
      <x:c r="F5" s="16" t="str">
        <x:v>E1</x:v>
      </x:c>
      <x:c r="G5" s="16" t="str">
        <x:v>name</x:v>
      </x:c>
      <x:c r="H5" s="16" t="str">
        <x:v>resolved</x:v>
      </x:c>
      <x:c r="I5" s="16" t="str">
        <x:v>Named caller</x:v>
      </x:c>
      <x:c r="J5" s="16" t="str">
        <x:v>SME-A</x:v>
      </x:c>
    </x:row>
    <x:row r="6" ht="34" customHeight="1">
      <x:c r="A6" s="16" t="str">
        <x:v>M02</x:v>
      </x:c>
      <x:c r="B6" s="16" t="str">
        <x:v>C104</x:v>
      </x:c>
      <x:c r="C6" s="16" t="str">
        <x:v>N01</x:v>
      </x:c>
      <x:c r="D6" s="16" t="str">
        <x:v>She</x:v>
      </x:c>
      <x:c r="E6" s="16" t="n">
        <x:v>1</x:v>
      </x:c>
      <x:c r="F6" s="16" t="str">
        <x:v>E1</x:v>
      </x:c>
      <x:c r="G6" s="16" t="str">
        <x:v>pronoun</x:v>
      </x:c>
      <x:c r="H6" s="16" t="str">
        <x:v>resolved</x:v>
      </x:c>
      <x:c r="I6" s="16" t="str">
        <x:v>Same speaker as Maya Chen</x:v>
      </x:c>
      <x:c r="J6" s="16" t="str">
        <x:v>SME-A</x:v>
      </x:c>
    </x:row>
    <x:row r="7" ht="34" customHeight="1">
      <x:c r="A7" s="16" t="str">
        <x:v>M03</x:v>
      </x:c>
      <x:c r="B7" s="16" t="str">
        <x:v>C104</x:v>
      </x:c>
      <x:c r="C7" s="16" t="str">
        <x:v>N01</x:v>
      </x:c>
      <x:c r="D7" s="16" t="str">
        <x:v>Elena Ruiz</x:v>
      </x:c>
      <x:c r="E7" s="16" t="n">
        <x:v>1</x:v>
      </x:c>
      <x:c r="F7" s="16" t="str">
        <x:v>E2</x:v>
      </x:c>
      <x:c r="G7" s="16" t="str">
        <x:v>name</x:v>
      </x:c>
      <x:c r="H7" s="16" t="str">
        <x:v>resolved</x:v>
      </x:c>
      <x:c r="I7" s="16" t="str">
        <x:v>Named representative</x:v>
      </x:c>
      <x:c r="J7" s="16" t="str">
        <x:v>SME-A</x:v>
      </x:c>
    </x:row>
    <x:row r="8" ht="34" customHeight="1">
      <x:c r="A8" s="16" t="str">
        <x:v>M04</x:v>
      </x:c>
      <x:c r="B8" s="16" t="str">
        <x:v>C104</x:v>
      </x:c>
      <x:c r="C8" s="16" t="str">
        <x:v>N01</x:v>
      </x:c>
      <x:c r="D8" s="16" t="str">
        <x:v>Harbor Legal</x:v>
      </x:c>
      <x:c r="E8" s="16" t="n">
        <x:v>1</x:v>
      </x:c>
      <x:c r="F8" s="16" t="str">
        <x:v>E3</x:v>
      </x:c>
      <x:c r="G8" s="16" t="str">
        <x:v>name</x:v>
      </x:c>
      <x:c r="H8" s="16" t="str">
        <x:v>resolved</x:v>
      </x:c>
      <x:c r="I8" s="16" t="str">
        <x:v>Named organization</x:v>
      </x:c>
      <x:c r="J8" s="16" t="str">
        <x:v>SME-A</x:v>
      </x:c>
    </x:row>
    <x:row r="9" ht="34" customHeight="1">
      <x:c r="A9" s="16" t="str">
        <x:v>M05</x:v>
      </x:c>
      <x:c r="B9" s="16" t="str">
        <x:v>C104</x:v>
      </x:c>
      <x:c r="C9" s="16" t="str">
        <x:v>N01</x:v>
      </x:c>
      <x:c r="D9" s="16" t="str">
        <x:v>her</x:v>
      </x:c>
      <x:c r="E9" s="16" t="n">
        <x:v>1</x:v>
      </x:c>
      <x:c r="F9" s="16" t="str">
        <x:v>E1</x:v>
      </x:c>
      <x:c r="G9" s="16" t="str">
        <x:v>pronoun</x:v>
      </x:c>
      <x:c r="H9" s="16" t="str">
        <x:v>resolved</x:v>
      </x:c>
      <x:c r="I9" s="16" t="str">
        <x:v>Refers to Maya Chen</x:v>
      </x:c>
      <x:c r="J9" s="16" t="str">
        <x:v>SME-A</x:v>
      </x:c>
    </x:row>
    <x:row r="10" ht="34" customHeight="1">
      <x:c r="A10" s="16" t="str">
        <x:v>M06</x:v>
      </x:c>
      <x:c r="B10" s="16" t="str">
        <x:v>C104</x:v>
      </x:c>
      <x:c r="C10" s="16" t="str">
        <x:v>N02</x:v>
      </x:c>
      <x:c r="D10" s="16" t="str">
        <x:v>Harbor Legal</x:v>
      </x:c>
      <x:c r="E10" s="16" t="n">
        <x:v>1</x:v>
      </x:c>
      <x:c r="F10" s="16" t="str">
        <x:v>E3</x:v>
      </x:c>
      <x:c r="G10" s="16" t="str">
        <x:v>name</x:v>
      </x:c>
      <x:c r="H10" s="16" t="str">
        <x:v>resolved</x:v>
      </x:c>
      <x:c r="I10" s="16" t="str">
        <x:v>Same firm</x:v>
      </x:c>
      <x:c r="J10" s="16" t="str">
        <x:v>SME-A</x:v>
      </x:c>
    </x:row>
    <x:row r="11" ht="34" customHeight="1">
      <x:c r="A11" s="16" t="str">
        <x:v>M07</x:v>
      </x:c>
      <x:c r="B11" s="16" t="str">
        <x:v>C104</x:v>
      </x:c>
      <x:c r="C11" s="16" t="str">
        <x:v>N02</x:v>
      </x:c>
      <x:c r="D11" s="16" t="str">
        <x:v>Maya Chen</x:v>
      </x:c>
      <x:c r="E11" s="16" t="n">
        <x:v>1</x:v>
      </x:c>
      <x:c r="F11" s="16" t="str">
        <x:v>E1</x:v>
      </x:c>
      <x:c r="G11" s="16" t="str">
        <x:v>name</x:v>
      </x:c>
      <x:c r="H11" s="16" t="str">
        <x:v>resolved</x:v>
      </x:c>
      <x:c r="I11" s="16" t="str">
        <x:v>Same person</x:v>
      </x:c>
      <x:c r="J11" s="16" t="str">
        <x:v>SME-A</x:v>
      </x:c>
    </x:row>
    <x:row r="12" ht="34" customHeight="1">
      <x:c r="A12" s="16" t="str">
        <x:v>M08</x:v>
      </x:c>
      <x:c r="B12" s="16" t="str">
        <x:v>C104</x:v>
      </x:c>
      <x:c r="C12" s="16" t="str">
        <x:v>N02</x:v>
      </x:c>
      <x:c r="D12" s="16" t="str">
        <x:v>Harbor Legal</x:v>
      </x:c>
      <x:c r="E12" s="16" t="n">
        <x:v>2</x:v>
      </x:c>
      <x:c r="F12" s="16" t="str">
        <x:v>E3</x:v>
      </x:c>
      <x:c r="G12" s="16" t="str">
        <x:v>name</x:v>
      </x:c>
      <x:c r="H12" s="16" t="str">
        <x:v>resolved</x:v>
      </x:c>
      <x:c r="I12" s="16" t="str">
        <x:v>Second occurrence</x:v>
      </x:c>
      <x:c r="J12" s="16" t="str">
        <x:v>SME-A</x:v>
      </x:c>
    </x:row>
    <x:row r="13" ht="34" customHeight="1">
      <x:c r="A13" s="16" t="str">
        <x:v>M09</x:v>
      </x:c>
      <x:c r="B13" s="16" t="str">
        <x:v>C104</x:v>
      </x:c>
      <x:c r="C13" s="16" t="str">
        <x:v>N02</x:v>
      </x:c>
      <x:c r="D13" s="16" t="str">
        <x:v>The firm</x:v>
      </x:c>
      <x:c r="E13" s="16" t="n">
        <x:v>1</x:v>
      </x:c>
      <x:c r="F13" s="16" t="str">
        <x:v>E3</x:v>
      </x:c>
      <x:c r="G13" s="16" t="str">
        <x:v>description</x:v>
      </x:c>
      <x:c r="H13" s="16" t="str">
        <x:v>resolved</x:v>
      </x:c>
      <x:c r="I13" s="16" t="str">
        <x:v>Refers to Harbor Legal</x:v>
      </x:c>
      <x:c r="J13" s="16" t="str">
        <x:v>SME-A</x:v>
      </x:c>
    </x:row>
    <x:row r="14" ht="34" customHeight="1">
      <x:c r="A14" s="16" t="str">
        <x:v>M10</x:v>
      </x:c>
      <x:c r="B14" s="16" t="str">
        <x:v>C104</x:v>
      </x:c>
      <x:c r="C14" s="16" t="str">
        <x:v>N02</x:v>
      </x:c>
      <x:c r="D14" s="16" t="str">
        <x:v>Elena Ruiz</x:v>
      </x:c>
      <x:c r="E14" s="16" t="n">
        <x:v>1</x:v>
      </x:c>
      <x:c r="F14" s="16" t="str">
        <x:v>E2</x:v>
      </x:c>
      <x:c r="G14" s="16" t="str">
        <x:v>name</x:v>
      </x:c>
      <x:c r="H14" s="16" t="str">
        <x:v>resolved</x:v>
      </x:c>
      <x:c r="I14" s="16" t="str">
        <x:v>Same representative</x:v>
      </x:c>
      <x:c r="J14" s="16" t="str">
        <x:v>SME-A</x:v>
      </x:c>
    </x:row>
  </x:sheetData>
  <x:dataValidations count="1">
    <x:dataValidation type="list" sqref="H5:H14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d94b44486d40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8" hidden="0" customWidth="1"/>
    <x:col min="5" max="5" width="45" hidden="0" customWidth="1"/>
  </x:cols>
  <x:sheetData>
    <x:row r="1">
      <x:c r="A1" s="1" t="str">
        <x:v>Blind gold entity index</x:v>
      </x:c>
    </x:row>
    <x:row r="2">
      <x:c r="A2" s="14" t="str">
        <x:v>Fictional completed training example.</x:v>
      </x:c>
    </x:row>
    <x:row r="4" ht="34" customHeight="1">
      <x:c r="A4" s="15" t="str">
        <x:v>entity_ref</x:v>
      </x:c>
      <x:c r="B4" s="15" t="str">
        <x:v>claim_number</x:v>
      </x:c>
      <x:c r="C4" s="15" t="str">
        <x:v>display_name</x:v>
      </x:c>
      <x:c r="D4" s="15" t="str">
        <x:v>entity_type</x:v>
      </x:c>
      <x:c r="E4" s="15" t="str">
        <x:v>supporting_mentions</x:v>
      </x:c>
    </x:row>
    <x:row r="5" ht="34" customHeight="1">
      <x:c r="A5" s="16" t="str">
        <x:v>E1</x:v>
      </x:c>
      <x:c r="B5" s="16" t="str">
        <x:v>C104</x:v>
      </x:c>
      <x:c r="C5" s="16" t="str">
        <x:v>Maya Chen</x:v>
      </x:c>
      <x:c r="D5" s="16" t="str">
        <x:v>person</x:v>
      </x:c>
      <x:c r="E5" s="16" t="str">
        <x:v>M01; M02; M05; M07</x:v>
      </x:c>
    </x:row>
    <x:row r="6" ht="34" customHeight="1">
      <x:c r="A6" s="16" t="str">
        <x:v>E2</x:v>
      </x:c>
      <x:c r="B6" s="16" t="str">
        <x:v>C104</x:v>
      </x:c>
      <x:c r="C6" s="16" t="str">
        <x:v>Elena Ruiz</x:v>
      </x:c>
      <x:c r="D6" s="16" t="str">
        <x:v>person</x:v>
      </x:c>
      <x:c r="E6" s="16" t="str">
        <x:v>M03; M10</x:v>
      </x:c>
    </x:row>
    <x:row r="7" ht="34" customHeight="1">
      <x:c r="A7" s="16" t="str">
        <x:v>E3</x:v>
      </x:c>
      <x:c r="B7" s="16" t="str">
        <x:v>C104</x:v>
      </x:c>
      <x:c r="C7" s="16" t="str">
        <x:v>Harbor Legal</x:v>
      </x:c>
      <x:c r="D7" s="16" t="str">
        <x:v>organization</x:v>
      </x:c>
      <x:c r="E7" s="16" t="str">
        <x:v>M04; M06; M08; M09</x:v>
      </x:c>
    </x:row>
  </x:sheetData>
  <x:pageMargins left="0.7" right="0.7" top="0.75" bottom="0.75" header="0.3" footer="0.3"/>
  <x:tableParts count="1">
    <x:tablePart xmlns:r="http://schemas.openxmlformats.org/officeDocument/2006/relationships" r:id="R4ecc58cde9574f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30" hidden="0" customWidth="1"/>
    <x:col min="5" max="5" width="25" hidden="0" customWidth="1"/>
  </x:cols>
  <x:sheetData>
    <x:row r="1">
      <x:c r="A1" s="1" t="str">
        <x:v>Raw client entity output — released after gold is sealed</x:v>
      </x:c>
    </x:row>
    <x:row r="2">
      <x:c r="A2" s="14" t="str">
        <x:v>Fictional completed training example.</x:v>
      </x:c>
    </x:row>
    <x:row r="4" ht="34" customHeight="1">
      <x:c r="A4" s="15" t="str">
        <x:v>record_id</x:v>
      </x:c>
      <x:c r="B4" s="15" t="str">
        <x:v>claim_number</x:v>
      </x:c>
      <x:c r="C4" s="15" t="str">
        <x:v>note_id</x:v>
      </x:c>
      <x:c r="D4" s="15" t="str">
        <x:v>entity_record</x:v>
      </x:c>
      <x:c r="E4" s="15" t="str">
        <x:v>Identification_type</x:v>
      </x:c>
    </x:row>
    <x:row r="5" ht="34" customHeight="1">
      <x:c r="A5" s="16" t="str">
        <x:v>R01</x:v>
      </x:c>
      <x:c r="B5" s="16" t="str">
        <x:v>C104</x:v>
      </x:c>
      <x:c r="C5" s="16" t="str">
        <x:v>N01</x:v>
      </x:c>
      <x:c r="D5" s="16" t="str">
        <x:v>Maya Chen</x:v>
      </x:c>
      <x:c r="E5" s="16" t="str">
        <x:v>exact_text_search</x:v>
      </x:c>
    </x:row>
    <x:row r="6" ht="34" customHeight="1">
      <x:c r="A6" s="16" t="str">
        <x:v>R02</x:v>
      </x:c>
      <x:c r="B6" s="16" t="str">
        <x:v>C104</x:v>
      </x:c>
      <x:c r="C6" s="16" t="str">
        <x:v>N01</x:v>
      </x:c>
      <x:c r="D6" s="16" t="str">
        <x:v>Harbor Legal</x:v>
      </x:c>
      <x:c r="E6" s="16" t="str">
        <x:v>exact_text_search</x:v>
      </x:c>
    </x:row>
    <x:row r="7" ht="34" customHeight="1">
      <x:c r="A7" s="16" t="str">
        <x:v>R03</x:v>
      </x:c>
      <x:c r="B7" s="16" t="str">
        <x:v>C104</x:v>
      </x:c>
      <x:c r="C7" s="16" t="str">
        <x:v>N02</x:v>
      </x:c>
      <x:c r="D7" s="16" t="str">
        <x:v>Harbor Legal</x:v>
      </x:c>
      <x:c r="E7" s="16" t="str">
        <x:v>exact_text_search</x:v>
      </x:c>
    </x:row>
    <x:row r="8" ht="34" customHeight="1">
      <x:c r="A8" s="16" t="str">
        <x:v>R04</x:v>
      </x:c>
      <x:c r="B8" s="16" t="str">
        <x:v>C104</x:v>
      </x:c>
      <x:c r="C8" s="16" t="str">
        <x:v>N02</x:v>
      </x:c>
      <x:c r="D8" s="16" t="str">
        <x:v>Harbor Legal</x:v>
      </x:c>
      <x:c r="E8" s="16" t="str">
        <x:v>exact_text_search</x:v>
      </x:c>
    </x:row>
    <x:row r="9" ht="34" customHeight="1">
      <x:c r="A9" s="16" t="str">
        <x:v>R05</x:v>
      </x:c>
      <x:c r="B9" s="16" t="str">
        <x:v>C104</x:v>
      </x:c>
      <x:c r="C9" s="16" t="str">
        <x:v>N01</x:v>
      </x:c>
      <x:c r="D9" s="16" t="str">
        <x:v>Elena Ruiz</x:v>
      </x:c>
      <x:c r="E9" s="16" t="str">
        <x:v>genAI</x:v>
      </x:c>
    </x:row>
    <x:row r="10" ht="34" customHeight="1">
      <x:c r="A10" s="16" t="str">
        <x:v>R06</x:v>
      </x:c>
      <x:c r="B10" s="16" t="str">
        <x:v>C104</x:v>
      </x:c>
      <x:c r="C10" s="16" t="str">
        <x:v>N02</x:v>
      </x:c>
      <x:c r="D10" s="16" t="str">
        <x:v>Harbor Legal</x:v>
      </x:c>
      <x:c r="E10" s="16" t="str">
        <x:v>genAI</x:v>
      </x:c>
    </x:row>
  </x:sheetData>
  <x:pageMargins left="0.7" right="0.7" top="0.75" bottom="0.75" header="0.3" footer="0.3"/>
  <x:tableParts count="1">
    <x:tablePart xmlns:r="http://schemas.openxmlformats.org/officeDocument/2006/relationships" r:id="Rf26e390ecc024e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8" hidden="0" customWidth="1"/>
    <x:col min="5" max="5" width="14" hidden="0" customWidth="1"/>
    <x:col min="6" max="6" width="24" hidden="0" customWidth="1"/>
    <x:col min="7" max="7" width="24" hidden="0" customWidth="1"/>
    <x:col min="8" max="8" width="65" hidden="0" customWidth="1"/>
    <x:col min="9" max="9" width="16" hidden="0" customWidth="1"/>
  </x:cols>
  <x:sheetData>
    <x:row r="1">
      <x:c r="A1" s="1" t="str">
        <x:v>Silver review of raw client output</x:v>
      </x:c>
    </x:row>
    <x:row r="2">
      <x:c r="A2" s="14" t="str">
        <x:v>Fictional completed training example.</x:v>
      </x:c>
    </x:row>
    <x:row r="4" ht="34" customHeight="1">
      <x:c r="A4" s="15" t="str">
        <x:v>record_id</x:v>
      </x:c>
      <x:c r="B4" s="15" t="str">
        <x:v>claim_number</x:v>
      </x:c>
      <x:c r="C4" s="15" t="str">
        <x:v>note_id</x:v>
      </x:c>
      <x:c r="D4" s="15" t="str">
        <x:v>review_result</x:v>
      </x:c>
      <x:c r="E4" s="15" t="str">
        <x:v>entity_ref</x:v>
      </x:c>
      <x:c r="F4" s="15" t="str">
        <x:v>evidence_ids</x:v>
      </x:c>
      <x:c r="G4" s="15" t="str">
        <x:v>evidence_relation</x:v>
      </x:c>
      <x:c r="H4" s="15" t="str">
        <x:v>review_reason</x:v>
      </x:c>
      <x:c r="I4" s="15" t="str">
        <x:v>reviewer</x:v>
      </x:c>
    </x:row>
    <x:row r="5" ht="34" customHeight="1">
      <x:c r="A5" s="16" t="str">
        <x:v>R01</x:v>
      </x:c>
      <x:c r="B5" s="16" t="str">
        <x:v>C104</x:v>
      </x:c>
      <x:c r="C5" s="16" t="str">
        <x:v>N01</x:v>
      </x:c>
      <x:c r="D5" s="16" t="str">
        <x:v>supported</x:v>
      </x:c>
      <x:c r="E5" s="16" t="str">
        <x:v>E1</x:v>
      </x:c>
      <x:c r="F5" s="16" t="str">
        <x:v>M01</x:v>
      </x:c>
      <x:c r="G5" s="16" t="str">
        <x:v>literal</x:v>
      </x:c>
      <x:c r="H5" s="16" t="str">
        <x:v>Supported by named source text</x:v>
      </x:c>
      <x:c r="I5" s="16" t="str">
        <x:v>SME-A</x:v>
      </x:c>
    </x:row>
    <x:row r="6" ht="34" customHeight="1">
      <x:c r="A6" s="16" t="str">
        <x:v>R02</x:v>
      </x:c>
      <x:c r="B6" s="16" t="str">
        <x:v>C104</x:v>
      </x:c>
      <x:c r="C6" s="16" t="str">
        <x:v>N01</x:v>
      </x:c>
      <x:c r="D6" s="16" t="str">
        <x:v>supported</x:v>
      </x:c>
      <x:c r="E6" s="16" t="str">
        <x:v>E3</x:v>
      </x:c>
      <x:c r="F6" s="16" t="str">
        <x:v>M04</x:v>
      </x:c>
      <x:c r="G6" s="16" t="str">
        <x:v>literal</x:v>
      </x:c>
      <x:c r="H6" s="16" t="str">
        <x:v>Supported by named source text</x:v>
      </x:c>
      <x:c r="I6" s="16" t="str">
        <x:v>SME-A</x:v>
      </x:c>
    </x:row>
    <x:row r="7" ht="34" customHeight="1">
      <x:c r="A7" s="16" t="str">
        <x:v>R03</x:v>
      </x:c>
      <x:c r="B7" s="16" t="str">
        <x:v>C104</x:v>
      </x:c>
      <x:c r="C7" s="16" t="str">
        <x:v>N02</x:v>
      </x:c>
      <x:c r="D7" s="16" t="str">
        <x:v>supported_multiple_locations</x:v>
      </x:c>
      <x:c r="E7" s="16" t="str">
        <x:v>E3</x:v>
      </x:c>
      <x:c r="F7" s="16" t="str">
        <x:v>M06; M08</x:v>
      </x:c>
      <x:c r="G7" s="16" t="str">
        <x:v>candidate_locations</x:v>
      </x:c>
      <x:c r="H7" s="16" t="str">
        <x:v>Two candidate passages; raw row has no position</x:v>
      </x:c>
      <x:c r="I7" s="16" t="str">
        <x:v>SME-A</x:v>
      </x:c>
    </x:row>
    <x:row r="8" ht="34" customHeight="1">
      <x:c r="A8" s="16" t="str">
        <x:v>R04</x:v>
      </x:c>
      <x:c r="B8" s="16" t="str">
        <x:v>C104</x:v>
      </x:c>
      <x:c r="C8" s="16" t="str">
        <x:v>N02</x:v>
      </x:c>
      <x:c r="D8" s="16" t="str">
        <x:v>supported_multiple_locations</x:v>
      </x:c>
      <x:c r="E8" s="16" t="str">
        <x:v>E3</x:v>
      </x:c>
      <x:c r="F8" s="16" t="str">
        <x:v>M06; M08</x:v>
      </x:c>
      <x:c r="G8" s="16" t="str">
        <x:v>candidate_locations</x:v>
      </x:c>
      <x:c r="H8" s="16" t="str">
        <x:v>Do not allocate repeated records by row order</x:v>
      </x:c>
      <x:c r="I8" s="16" t="str">
        <x:v>SME-A</x:v>
      </x:c>
    </x:row>
    <x:row r="9" ht="34" customHeight="1">
      <x:c r="A9" s="16" t="str">
        <x:v>R05</x:v>
      </x:c>
      <x:c r="B9" s="16" t="str">
        <x:v>C104</x:v>
      </x:c>
      <x:c r="C9" s="16" t="str">
        <x:v>N01</x:v>
      </x:c>
      <x:c r="D9" s="16" t="str">
        <x:v>supported</x:v>
      </x:c>
      <x:c r="E9" s="16" t="str">
        <x:v>E2</x:v>
      </x:c>
      <x:c r="F9" s="16" t="str">
        <x:v>M03</x:v>
      </x:c>
      <x:c r="G9" s="16" t="str">
        <x:v>referent</x:v>
      </x:c>
      <x:c r="H9" s="16" t="str">
        <x:v>Supported by named source text</x:v>
      </x:c>
      <x:c r="I9" s="16" t="str">
        <x:v>SME-A</x:v>
      </x:c>
    </x:row>
    <x:row r="10" ht="34" customHeight="1">
      <x:c r="A10" s="16" t="str">
        <x:v>R06</x:v>
      </x:c>
      <x:c r="B10" s="16" t="str">
        <x:v>C104</x:v>
      </x:c>
      <x:c r="C10" s="16" t="str">
        <x:v>N02</x:v>
      </x:c>
      <x:c r="D10" s="16" t="str">
        <x:v>supported</x:v>
      </x:c>
      <x:c r="E10" s="16" t="str">
        <x:v>E3</x:v>
      </x:c>
      <x:c r="F10" s="16" t="str">
        <x:v>M06; M08; M09</x:v>
      </x:c>
      <x:c r="G10" s="16" t="str">
        <x:v>referent</x:v>
      </x:c>
      <x:c r="H10" s="16" t="str">
        <x:v>One GenAI entity supported by names and description</x:v>
      </x:c>
      <x:c r="I10" s="16" t="str">
        <x:v>SME-A</x:v>
      </x:c>
    </x:row>
  </x:sheetData>
  <x:dataValidations count="1">
    <x:dataValidation type="list" sqref="D5:D10">
      <x:formula1>"supported,supported_multiple_locations,ambiguous,unsupported,needs_context"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f3e9b80118405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8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6" hidden="0" customWidth="1"/>
    <x:col min="21" max="21" width="16" hidden="0" customWidth="1"/>
  </x:cols>
  <x:sheetData>
    <x:row r="1">
      <x:c r="A1" s="1" t="str">
        <x:v>Raw watchlist candidate pairs — released after gold is sealed</x:v>
      </x:c>
    </x:row>
    <x:row r="2">
      <x:c r="A2" s="14" t="str">
        <x:v>Fictional completed training example.</x:v>
      </x:c>
    </x:row>
    <x:row r="4" ht="34" customHeight="1">
      <x:c r="A4" s="15" t="str">
        <x:v>pair_id</x:v>
      </x:c>
      <x:c r="B4" s="15" t="str">
        <x:v>claim_number</x:v>
      </x:c>
      <x:c r="C4" s="15" t="str">
        <x:v>watchlist entity name</x:v>
      </x:c>
      <x:c r="D4" s="15" t="str">
        <x:v>watchlist category</x:v>
      </x:c>
      <x:c r="E4" s="15" t="str">
        <x:v>watchlist address</x:v>
      </x:c>
      <x:c r="F4" s="15" t="str">
        <x:v>watchlist city</x:v>
      </x:c>
      <x:c r="G4" s="15" t="str">
        <x:v>watchlist state</x:v>
      </x:c>
      <x:c r="H4" s="15" t="str">
        <x:v>watchlist zip</x:v>
      </x:c>
      <x:c r="I4" s="15" t="str">
        <x:v>watchlist phone number</x:v>
      </x:c>
      <x:c r="J4" s="15" t="str">
        <x:v>watchlist TIN</x:v>
      </x:c>
      <x:c r="K4" s="15" t="str">
        <x:v>system identified entity name</x:v>
      </x:c>
      <x:c r="L4" s="15" t="str">
        <x:v>system category</x:v>
      </x:c>
      <x:c r="M4" s="15" t="str">
        <x:v>system address</x:v>
      </x:c>
      <x:c r="N4" s="15" t="str">
        <x:v>system city</x:v>
      </x:c>
      <x:c r="O4" s="15" t="str">
        <x:v>system state</x:v>
      </x:c>
      <x:c r="P4" s="15" t="str">
        <x:v>system zip</x:v>
      </x:c>
      <x:c r="Q4" s="15" t="str">
        <x:v>system phone number</x:v>
      </x:c>
      <x:c r="R4" s="15" t="str">
        <x:v>system TIN</x:v>
      </x:c>
      <x:c r="S4" s="15" t="str">
        <x:v>Similarity Score</x:v>
      </x:c>
      <x:c r="T4" s="15" t="str">
        <x:v>review_scope</x:v>
      </x:c>
    </x:row>
    <x:row r="5" ht="34" customHeight="1">
      <x:c r="A5" s="16" t="str">
        <x:v>W01</x:v>
      </x:c>
      <x:c r="B5" s="16" t="str">
        <x:v>C104</x:v>
      </x:c>
      <x:c r="C5" s="16" t="str">
        <x:v>Harbor Legal</x:v>
      </x:c>
      <x:c r="D5" s="16" t="str">
        <x:v>legal</x:v>
      </x:c>
      <x:c r="E5" s="16" t="str">
        <x:v>10 Bay Street</x:v>
      </x:c>
      <x:c r="F5" s="16" t="str">
        <x:v>Exampleton</x:v>
      </x:c>
      <x:c r="G5" s="16" t="str">
        <x:v>IL</x:v>
      </x:c>
      <x:c r="H5" s="16" t="str">
        <x:v>00000</x:v>
      </x:c>
      <x:c r="I5" s="16" t="str">
        <x:v>555-0101</x:v>
      </x:c>
      <x:c r="J5" s="16" t="str">
        <x:v>TRAINING-001</x:v>
      </x:c>
      <x:c r="K5" s="16" t="str">
        <x:v>Harbor Legal</x:v>
      </x:c>
      <x:c r="L5" s="16" t="str">
        <x:v>legal</x:v>
      </x:c>
      <x:c r="M5" s="16" t="str"/>
      <x:c r="N5" s="16" t="str"/>
      <x:c r="O5" s="16" t="str"/>
      <x:c r="P5" s="16" t="str"/>
      <x:c r="Q5" s="16" t="str"/>
      <x:c r="R5" s="16" t="str"/>
      <x:c r="S5" s="16" t="str">
        <x:v>100</x:v>
      </x:c>
      <x:c r="T5" s="16" t="str">
        <x:v>included</x:v>
      </x:c>
    </x:row>
    <x:row r="6" ht="34" customHeight="1">
      <x:c r="A6" s="16" t="str">
        <x:v>W02</x:v>
      </x:c>
      <x:c r="B6" s="16" t="str">
        <x:v>C104</x:v>
      </x:c>
      <x:c r="C6" s="16" t="str">
        <x:v>Harbor Legal</x:v>
      </x:c>
      <x:c r="D6" s="16" t="str">
        <x:v>legal</x:v>
      </x:c>
      <x:c r="E6" s="16" t="str">
        <x:v>10 Bay Street</x:v>
      </x:c>
      <x:c r="F6" s="16" t="str">
        <x:v>Exampleton</x:v>
      </x:c>
      <x:c r="G6" s="16" t="str">
        <x:v>IL</x:v>
      </x:c>
      <x:c r="H6" s="16" t="str">
        <x:v>00000</x:v>
      </x:c>
      <x:c r="I6" s="16" t="str">
        <x:v>555-0101</x:v>
      </x:c>
      <x:c r="J6" s="16" t="str">
        <x:v>TRAINING-001</x:v>
      </x:c>
      <x:c r="K6" s="16" t="str">
        <x:v>Harbor Legal</x:v>
      </x:c>
      <x:c r="L6" s="16" t="str">
        <x:v>legal</x:v>
      </x:c>
      <x:c r="M6" s="16" t="str">
        <x:v>10 Bay Street</x:v>
      </x:c>
      <x:c r="N6" s="16" t="str">
        <x:v>Exampleton</x:v>
      </x:c>
      <x:c r="O6" s="16" t="str">
        <x:v>IL</x:v>
      </x:c>
      <x:c r="P6" s="16" t="str">
        <x:v>00000</x:v>
      </x:c>
      <x:c r="Q6" s="16" t="str"/>
      <x:c r="R6" s="16" t="str">
        <x:v>TRAINING-001</x:v>
      </x:c>
      <x:c r="S6" s="16" t="str">
        <x:v>100</x:v>
      </x:c>
      <x:c r="T6" s="16" t="str">
        <x:v>included</x:v>
      </x:c>
    </x:row>
    <x:row r="7" ht="34" customHeight="1">
      <x:c r="A7" s="16" t="str">
        <x:v>W03</x:v>
      </x:c>
      <x:c r="B7" s="16" t="str">
        <x:v>C104</x:v>
      </x:c>
      <x:c r="C7" s="16" t="str">
        <x:v>Maya Chen</x:v>
      </x:c>
      <x:c r="D7" s="16" t="str">
        <x:v>person</x:v>
      </x:c>
      <x:c r="E7" s="16" t="str"/>
      <x:c r="F7" s="16" t="str"/>
      <x:c r="G7" s="16" t="str"/>
      <x:c r="H7" s="16" t="str"/>
      <x:c r="I7" s="16" t="str"/>
      <x:c r="J7" s="16" t="str">
        <x:v>TRAINING-002</x:v>
      </x:c>
      <x:c r="K7" s="16" t="str">
        <x:v>Maya Chen</x:v>
      </x:c>
      <x:c r="L7" s="16" t="str">
        <x:v>person</x:v>
      </x:c>
      <x:c r="M7" s="16" t="str"/>
      <x:c r="N7" s="16" t="str"/>
      <x:c r="O7" s="16" t="str"/>
      <x:c r="P7" s="16" t="str"/>
      <x:c r="Q7" s="16" t="str"/>
      <x:c r="R7" s="16" t="str">
        <x:v>TRAINING-003</x:v>
      </x:c>
      <x:c r="S7" s="16" t="str">
        <x:v>100</x:v>
      </x:c>
      <x:c r="T7" s="16" t="str">
        <x:v>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898610c7fc1d4c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30" hidden="0" customWidth="1"/>
    <x:col min="5" max="5" width="30" hidden="0" customWidth="1"/>
    <x:col min="6" max="6" width="16" hidden="0" customWidth="1"/>
    <x:col min="7" max="7" width="60" hidden="0" customWidth="1"/>
    <x:col min="8" max="8" width="16" hidden="0" customWidth="1"/>
  </x:cols>
  <x:sheetData>
    <x:row r="1">
      <x:c r="A1" s="1" t="str">
        <x:v>Watchlist field comparison</x:v>
      </x:c>
    </x:row>
    <x:row r="2">
      <x:c r="A2" s="14" t="str">
        <x:v>Fictional completed training example.</x:v>
      </x:c>
    </x:row>
    <x:row r="4" ht="34" customHeight="1">
      <x:c r="A4" s="15" t="str">
        <x:v>pair_id</x:v>
      </x:c>
      <x:c r="B4" s="15" t="str">
        <x:v>claim_number</x:v>
      </x:c>
      <x:c r="C4" s="15" t="str">
        <x:v>field</x:v>
      </x:c>
      <x:c r="D4" s="15" t="str">
        <x:v>watchlist value</x:v>
      </x:c>
      <x:c r="E4" s="15" t="str">
        <x:v>system value</x:v>
      </x:c>
      <x:c r="F4" s="15" t="str">
        <x:v>comparison</x:v>
      </x:c>
      <x:c r="G4" s="15" t="str">
        <x:v>review_note</x:v>
      </x:c>
      <x:c r="H4" s="15" t="str">
        <x:v>reviewer</x:v>
      </x:c>
    </x:row>
    <x:row r="5" ht="34" customHeight="1">
      <x:c r="A5" s="16" t="str">
        <x:v>W01</x:v>
      </x:c>
      <x:c r="B5" s="16" t="str">
        <x:v>C104</x:v>
      </x:c>
      <x:c r="C5" s="16" t="str">
        <x:v>Entity Name</x:v>
      </x:c>
      <x:c r="D5" s="16" t="str">
        <x:v>Harbor Legal</x:v>
      </x:c>
      <x:c r="E5" s="16" t="str">
        <x:v>Harbor Legal</x:v>
      </x:c>
      <x:c r="F5" s="16" t="str">
        <x:v>agrees</x:v>
      </x:c>
      <x:c r="G5" s="16" t="str">
        <x:v>Same literal name</x:v>
      </x:c>
      <x:c r="H5" s="16" t="str">
        <x:v>SME-A</x:v>
      </x:c>
    </x:row>
    <x:row r="6" ht="34" customHeight="1">
      <x:c r="A6" s="16" t="str">
        <x:v>W01</x:v>
      </x:c>
      <x:c r="B6" s="16" t="str">
        <x:v>C104</x:v>
      </x:c>
      <x:c r="C6" s="16" t="str">
        <x:v>category</x:v>
      </x:c>
      <x:c r="D6" s="16" t="str">
        <x:v>legal</x:v>
      </x:c>
      <x:c r="E6" s="16" t="str">
        <x:v>legal</x:v>
      </x:c>
      <x:c r="F6" s="16" t="str">
        <x:v>agrees</x:v>
      </x:c>
      <x:c r="G6" s="16" t="str">
        <x:v>Same category</x:v>
      </x:c>
      <x:c r="H6" s="16" t="str">
        <x:v>SME-A</x:v>
      </x:c>
    </x:row>
    <x:row r="7" ht="34" customHeight="1">
      <x:c r="A7" s="16" t="str">
        <x:v>W01</x:v>
      </x:c>
      <x:c r="B7" s="16" t="str">
        <x:v>C104</x:v>
      </x:c>
      <x:c r="C7" s="16" t="str">
        <x:v>address</x:v>
      </x:c>
      <x:c r="D7" s="16" t="str">
        <x:v>10 Bay Street</x:v>
      </x:c>
      <x:c r="E7" s="16" t="str"/>
      <x:c r="F7" s="16" t="str">
        <x:v>missing</x:v>
      </x:c>
      <x:c r="G7" s="16" t="str">
        <x:v>System record blank</x:v>
      </x:c>
      <x:c r="H7" s="16" t="str">
        <x:v>SME-A</x:v>
      </x:c>
    </x:row>
    <x:row r="8" ht="34" customHeight="1">
      <x:c r="A8" s="16" t="str">
        <x:v>W01</x:v>
      </x:c>
      <x:c r="B8" s="16" t="str">
        <x:v>C104</x:v>
      </x:c>
      <x:c r="C8" s="16" t="str">
        <x:v>TIN</x:v>
      </x:c>
      <x:c r="D8" s="16" t="str">
        <x:v>TRAINING-001</x:v>
      </x:c>
      <x:c r="E8" s="16" t="str"/>
      <x:c r="F8" s="16" t="str">
        <x:v>missing</x:v>
      </x:c>
      <x:c r="G8" s="16" t="str">
        <x:v>System record blank</x:v>
      </x:c>
      <x:c r="H8" s="16" t="str">
        <x:v>SME-A</x:v>
      </x:c>
    </x:row>
    <x:row r="9" ht="34" customHeight="1">
      <x:c r="A9" s="16" t="str">
        <x:v>W02</x:v>
      </x:c>
      <x:c r="B9" s="16" t="str">
        <x:v>C104</x:v>
      </x:c>
      <x:c r="C9" s="16" t="str">
        <x:v>TIN</x:v>
      </x:c>
      <x:c r="D9" s="16" t="str">
        <x:v>TRAINING-001</x:v>
      </x:c>
      <x:c r="E9" s="16" t="str">
        <x:v>TRAINING-001</x:v>
      </x:c>
      <x:c r="F9" s="16" t="str">
        <x:v>agrees</x:v>
      </x:c>
      <x:c r="G9" s="16" t="str">
        <x:v>Same supplied identifier</x:v>
      </x:c>
      <x:c r="H9" s="16" t="str">
        <x:v>SME-A</x:v>
      </x:c>
    </x:row>
    <x:row r="10" ht="34" customHeight="1">
      <x:c r="A10" s="16" t="str">
        <x:v>W03</x:v>
      </x:c>
      <x:c r="B10" s="16" t="str">
        <x:v>C104</x:v>
      </x:c>
      <x:c r="C10" s="16" t="str">
        <x:v>TIN</x:v>
      </x:c>
      <x:c r="D10" s="16" t="str">
        <x:v>TRAINING-002</x:v>
      </x:c>
      <x:c r="E10" s="16" t="str">
        <x:v>TRAINING-003</x:v>
      </x:c>
      <x:c r="F10" s="16" t="str">
        <x:v>differs</x:v>
      </x:c>
      <x:c r="G10" s="16" t="str">
        <x:v>Verify source and record level</x:v>
      </x:c>
      <x:c r="H10" s="16" t="str">
        <x:v>SME-A</x:v>
      </x:c>
    </x:row>
  </x:sheetData>
  <x:dataValidations count="1">
    <x:dataValidation type="list" sqref="F5:F10">
      <x:formula1>"agrees,differs,missing,unclear"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bcb5d6e4fa41c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4" hidden="0" customWidth="1"/>
    <x:col min="5" max="5" width="22" hidden="0" customWidth="1"/>
    <x:col min="6" max="6" width="16" hidden="0" customWidth="1"/>
    <x:col min="7" max="7" width="70" hidden="0" customWidth="1"/>
    <x:col min="8" max="8" width="16" hidden="0" customWidth="1"/>
    <x:col min="9" max="9" width="16" hidden="0" customWidth="1"/>
  </x:cols>
  <x:sheetData>
    <x:row r="1">
      <x:c r="A1" s="1" t="str">
        <x:v>Watchlist pair decision</x:v>
      </x:c>
    </x:row>
    <x:row r="2">
      <x:c r="A2" s="14" t="str">
        <x:v>Fictional completed training example.</x:v>
      </x:c>
    </x:row>
    <x:row r="4" ht="34" customHeight="1">
      <x:c r="A4" s="15" t="str">
        <x:v>pair_id</x:v>
      </x:c>
      <x:c r="B4" s="15" t="str">
        <x:v>claim_number</x:v>
      </x:c>
      <x:c r="C4" s="15" t="str">
        <x:v>review_scope</x:v>
      </x:c>
      <x:c r="D4" s="15" t="str">
        <x:v>identity_decision</x:v>
      </x:c>
      <x:c r="E4" s="15" t="str">
        <x:v>source_verification</x:v>
      </x:c>
      <x:c r="F4" s="15" t="str">
        <x:v>Similarity Score</x:v>
      </x:c>
      <x:c r="G4" s="15" t="str">
        <x:v>review_reason</x:v>
      </x:c>
      <x:c r="H4" s="15" t="str">
        <x:v>reviewer</x:v>
      </x:c>
      <x:c r="I4" s="15" t="str">
        <x:v>review_status</x:v>
      </x:c>
    </x:row>
    <x:row r="5" ht="34" customHeight="1">
      <x:c r="A5" s="16" t="str">
        <x:v>W01</x:v>
      </x:c>
      <x:c r="B5" s="16" t="str">
        <x:v>C104</x:v>
      </x:c>
      <x:c r="C5" s="16" t="str">
        <x:v>included</x:v>
      </x:c>
      <x:c r="D5" s="16" t="str">
        <x:v>insufficient_evidence</x:v>
      </x:c>
      <x:c r="E5" s="16" t="str">
        <x:v>not_checked</x:v>
      </x:c>
      <x:c r="F5" s="16" t="str">
        <x:v>100</x:v>
      </x:c>
      <x:c r="G5" s="16" t="str">
        <x:v>Name/category agree; other system values missing.</x:v>
      </x:c>
      <x:c r="H5" s="16" t="str">
        <x:v>SME-A</x:v>
      </x:c>
      <x:c r="I5" s="16" t="str">
        <x:v>complete</x:v>
      </x:c>
    </x:row>
    <x:row r="6" ht="34" customHeight="1">
      <x:c r="A6" s="16" t="str">
        <x:v>W02</x:v>
      </x:c>
      <x:c r="B6" s="16" t="str">
        <x:v>C104</x:v>
      </x:c>
      <x:c r="C6" s="16" t="str">
        <x:v>included</x:v>
      </x:c>
      <x:c r="D6" s="16" t="str">
        <x:v>same_entity</x:v>
      </x:c>
      <x:c r="E6" s="16" t="str">
        <x:v>not_checked</x:v>
      </x:c>
      <x:c r="F6" s="16" t="str">
        <x:v>100</x:v>
      </x:c>
      <x:c r="G6" s="16" t="str">
        <x:v>Training assumption: matching TIN and address identify same entity.</x:v>
      </x:c>
      <x:c r="H6" s="16" t="str">
        <x:v>SME-A</x:v>
      </x:c>
      <x:c r="I6" s="16" t="str">
        <x:v>complete</x:v>
      </x:c>
    </x:row>
    <x:row r="7" ht="34" customHeight="1">
      <x:c r="A7" s="16" t="str">
        <x:v>W03</x:v>
      </x:c>
      <x:c r="B7" s="16" t="str">
        <x:v>C104</x:v>
      </x:c>
      <x:c r="C7" s="16" t="str">
        <x:v>included</x:v>
      </x:c>
      <x:c r="D7" s="16" t="str">
        <x:v>different_entity</x:v>
      </x:c>
      <x:c r="E7" s="16" t="str">
        <x:v>not_checked</x:v>
      </x:c>
      <x:c r="F7" s="16" t="str">
        <x:v>100</x:v>
      </x:c>
      <x:c r="G7" s="16" t="str">
        <x:v>Training assumption: confirmed different TINs identify different people.</x:v>
      </x:c>
      <x:c r="H7" s="16" t="str">
        <x:v>SME-A</x:v>
      </x:c>
      <x:c r="I7" s="16" t="str">
        <x:v>complete</x:v>
      </x:c>
    </x:row>
  </x:sheetData>
  <x:dataValidations count="4">
    <x:dataValidation type="list" sqref="C5:C7">
      <x:formula1>"included,excluded"</x:formula1>
    </x:dataValidation>
    <x:dataValidation type="list" sqref="D5:D7">
      <x:formula1>"same_entity,different_entity,insufficient_evidence,needs_context"</x:formula1>
    </x:dataValidation>
    <x:dataValidation type="list" sqref="E5:E7">
      <x:formula1>"not_checked,supported,ambiguous,unsupported,needs_context"</x:formula1>
    </x:dataValidation>
    <x:dataValidation type="list" sqref="I5:I7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c729c65ec543dd"/>
  </x:tableParts>
</x:worksheet>
</file>